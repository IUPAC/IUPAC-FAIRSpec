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iupac\acs2\"/>
    </mc:Choice>
  </mc:AlternateContent>
  <xr:revisionPtr revIDLastSave="0" documentId="13_ncr:1_{01736743-426D-4726-923F-E54BB39DE120}" xr6:coauthVersionLast="47" xr6:coauthVersionMax="47" xr10:uidLastSave="{00000000-0000-0000-0000-000000000000}"/>
  <bookViews>
    <workbookView xWindow="-110" yWindow="-110" windowWidth="19420" windowHeight="10300" xr2:uid="{59D1076F-CB5F-4132-B853-26E06FF711F8}"/>
  </bookViews>
  <sheets>
    <sheet name="OL-JOC - DOI details-from-figsh" sheetId="1" r:id="rId1"/>
    <sheet name="compound numbers" sheetId="6" r:id="rId2"/>
    <sheet name="Sheet1" sheetId="5" r:id="rId3"/>
    <sheet name="original" sheetId="4" r:id="rId4"/>
    <sheet name="notes" sheetId="3" r:id="rId5"/>
  </sheets>
  <definedNames>
    <definedName name="_xlnm._FilterDatabase" localSheetId="0" hidden="1">'OL-JOC - DOI details-from-figsh'!$A$1:$Z$342</definedName>
    <definedName name="_xlnm._FilterDatabase" localSheetId="3" hidden="1">original!$A$1:$D$343</definedName>
    <definedName name="Compound_Application_NMR_214" localSheetId="1">'compound numbers'!$A$129</definedName>
    <definedName name="Compound_comp07b_1324_939_cdcl3_45" localSheetId="1">'compound numbers'!$A$159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 s="1"/>
  <c r="D7" i="1" s="1"/>
  <c r="D4" i="1"/>
  <c r="D3" i="1"/>
  <c r="B1" i="6"/>
  <c r="V3" i="1"/>
  <c r="B3" i="1" s="1"/>
  <c r="V4" i="1"/>
  <c r="B4" i="1" s="1"/>
  <c r="V5" i="1"/>
  <c r="B5" i="1" s="1"/>
  <c r="V6" i="1"/>
  <c r="B6" i="1" s="1"/>
  <c r="V7" i="1"/>
  <c r="B7" i="1" s="1"/>
  <c r="V8" i="1"/>
  <c r="B8" i="1" s="1"/>
  <c r="V9" i="1"/>
  <c r="B9" i="1" s="1"/>
  <c r="V10" i="1"/>
  <c r="B10" i="1" s="1"/>
  <c r="V11" i="1"/>
  <c r="B11" i="1" s="1"/>
  <c r="V12" i="1"/>
  <c r="B12" i="1" s="1"/>
  <c r="V13" i="1"/>
  <c r="B13" i="1" s="1"/>
  <c r="V14" i="1"/>
  <c r="B14" i="1" s="1"/>
  <c r="V15" i="1"/>
  <c r="B15" i="1" s="1"/>
  <c r="V16" i="1"/>
  <c r="B16" i="1" s="1"/>
  <c r="V17" i="1"/>
  <c r="B17" i="1" s="1"/>
  <c r="V18" i="1"/>
  <c r="B18" i="1" s="1"/>
  <c r="V19" i="1"/>
  <c r="B19" i="1" s="1"/>
  <c r="V20" i="1"/>
  <c r="B20" i="1" s="1"/>
  <c r="V21" i="1"/>
  <c r="B21" i="1" s="1"/>
  <c r="V22" i="1"/>
  <c r="B22" i="1" s="1"/>
  <c r="V23" i="1"/>
  <c r="B23" i="1" s="1"/>
  <c r="V24" i="1"/>
  <c r="B24" i="1" s="1"/>
  <c r="V25" i="1"/>
  <c r="B25" i="1" s="1"/>
  <c r="V26" i="1"/>
  <c r="B26" i="1" s="1"/>
  <c r="V27" i="1"/>
  <c r="B27" i="1" s="1"/>
  <c r="V28" i="1"/>
  <c r="B28" i="1" s="1"/>
  <c r="V29" i="1"/>
  <c r="B29" i="1" s="1"/>
  <c r="V30" i="1"/>
  <c r="B30" i="1" s="1"/>
  <c r="V31" i="1"/>
  <c r="B31" i="1" s="1"/>
  <c r="V32" i="1"/>
  <c r="B32" i="1" s="1"/>
  <c r="V33" i="1"/>
  <c r="B33" i="1" s="1"/>
  <c r="V34" i="1"/>
  <c r="B34" i="1" s="1"/>
  <c r="V35" i="1"/>
  <c r="B35" i="1" s="1"/>
  <c r="V36" i="1"/>
  <c r="B36" i="1" s="1"/>
  <c r="V37" i="1"/>
  <c r="B37" i="1" s="1"/>
  <c r="V38" i="1"/>
  <c r="B38" i="1" s="1"/>
  <c r="V39" i="1"/>
  <c r="B39" i="1" s="1"/>
  <c r="V40" i="1"/>
  <c r="B40" i="1" s="1"/>
  <c r="V41" i="1"/>
  <c r="B41" i="1" s="1"/>
  <c r="V42" i="1"/>
  <c r="B42" i="1" s="1"/>
  <c r="V43" i="1"/>
  <c r="B43" i="1" s="1"/>
  <c r="V44" i="1"/>
  <c r="B44" i="1" s="1"/>
  <c r="V45" i="1"/>
  <c r="B45" i="1" s="1"/>
  <c r="V46" i="1"/>
  <c r="B46" i="1" s="1"/>
  <c r="V47" i="1"/>
  <c r="B47" i="1" s="1"/>
  <c r="V48" i="1"/>
  <c r="B48" i="1" s="1"/>
  <c r="V49" i="1"/>
  <c r="B49" i="1" s="1"/>
  <c r="V50" i="1"/>
  <c r="B50" i="1" s="1"/>
  <c r="V51" i="1"/>
  <c r="B51" i="1" s="1"/>
  <c r="V52" i="1"/>
  <c r="B52" i="1" s="1"/>
  <c r="V53" i="1"/>
  <c r="B53" i="1" s="1"/>
  <c r="V54" i="1"/>
  <c r="B54" i="1" s="1"/>
  <c r="V55" i="1"/>
  <c r="B55" i="1" s="1"/>
  <c r="V56" i="1"/>
  <c r="B56" i="1" s="1"/>
  <c r="V57" i="1"/>
  <c r="B57" i="1" s="1"/>
  <c r="V58" i="1"/>
  <c r="B58" i="1" s="1"/>
  <c r="V59" i="1"/>
  <c r="B59" i="1" s="1"/>
  <c r="V60" i="1"/>
  <c r="B60" i="1" s="1"/>
  <c r="V61" i="1"/>
  <c r="B61" i="1" s="1"/>
  <c r="V62" i="1"/>
  <c r="B62" i="1" s="1"/>
  <c r="V63" i="1"/>
  <c r="B63" i="1" s="1"/>
  <c r="V64" i="1"/>
  <c r="B64" i="1" s="1"/>
  <c r="V65" i="1"/>
  <c r="B65" i="1" s="1"/>
  <c r="V66" i="1"/>
  <c r="B66" i="1" s="1"/>
  <c r="V67" i="1"/>
  <c r="B67" i="1" s="1"/>
  <c r="V68" i="1"/>
  <c r="B68" i="1" s="1"/>
  <c r="V69" i="1"/>
  <c r="B69" i="1" s="1"/>
  <c r="V70" i="1"/>
  <c r="B70" i="1" s="1"/>
  <c r="V71" i="1"/>
  <c r="B71" i="1" s="1"/>
  <c r="V72" i="1"/>
  <c r="B72" i="1" s="1"/>
  <c r="V73" i="1"/>
  <c r="B73" i="1" s="1"/>
  <c r="V74" i="1"/>
  <c r="B74" i="1" s="1"/>
  <c r="V75" i="1"/>
  <c r="B75" i="1" s="1"/>
  <c r="V76" i="1"/>
  <c r="B76" i="1" s="1"/>
  <c r="V77" i="1"/>
  <c r="B77" i="1" s="1"/>
  <c r="V78" i="1"/>
  <c r="B78" i="1" s="1"/>
  <c r="V79" i="1"/>
  <c r="B79" i="1" s="1"/>
  <c r="V80" i="1"/>
  <c r="B80" i="1" s="1"/>
  <c r="V81" i="1"/>
  <c r="B81" i="1" s="1"/>
  <c r="V82" i="1"/>
  <c r="B82" i="1" s="1"/>
  <c r="V83" i="1"/>
  <c r="B83" i="1" s="1"/>
  <c r="V84" i="1"/>
  <c r="B84" i="1" s="1"/>
  <c r="V85" i="1"/>
  <c r="B85" i="1" s="1"/>
  <c r="V86" i="1"/>
  <c r="B86" i="1" s="1"/>
  <c r="V87" i="1"/>
  <c r="B87" i="1" s="1"/>
  <c r="V88" i="1"/>
  <c r="B88" i="1" s="1"/>
  <c r="V89" i="1"/>
  <c r="B89" i="1" s="1"/>
  <c r="V90" i="1"/>
  <c r="B90" i="1" s="1"/>
  <c r="V91" i="1"/>
  <c r="B91" i="1" s="1"/>
  <c r="V92" i="1"/>
  <c r="B92" i="1" s="1"/>
  <c r="V93" i="1"/>
  <c r="B93" i="1" s="1"/>
  <c r="V94" i="1"/>
  <c r="B94" i="1" s="1"/>
  <c r="V95" i="1"/>
  <c r="B95" i="1" s="1"/>
  <c r="V96" i="1"/>
  <c r="B96" i="1" s="1"/>
  <c r="V97" i="1"/>
  <c r="B97" i="1" s="1"/>
  <c r="V98" i="1"/>
  <c r="B98" i="1" s="1"/>
  <c r="V99" i="1"/>
  <c r="B99" i="1" s="1"/>
  <c r="V100" i="1"/>
  <c r="B100" i="1" s="1"/>
  <c r="V101" i="1"/>
  <c r="B101" i="1" s="1"/>
  <c r="V102" i="1"/>
  <c r="B102" i="1" s="1"/>
  <c r="V103" i="1"/>
  <c r="B103" i="1" s="1"/>
  <c r="V104" i="1"/>
  <c r="B104" i="1" s="1"/>
  <c r="V105" i="1"/>
  <c r="B105" i="1" s="1"/>
  <c r="V106" i="1"/>
  <c r="B106" i="1" s="1"/>
  <c r="V107" i="1"/>
  <c r="B107" i="1" s="1"/>
  <c r="V108" i="1"/>
  <c r="B108" i="1" s="1"/>
  <c r="V109" i="1"/>
  <c r="B109" i="1" s="1"/>
  <c r="V110" i="1"/>
  <c r="B110" i="1" s="1"/>
  <c r="V111" i="1"/>
  <c r="B111" i="1" s="1"/>
  <c r="V112" i="1"/>
  <c r="B112" i="1" s="1"/>
  <c r="V113" i="1"/>
  <c r="B113" i="1" s="1"/>
  <c r="V114" i="1"/>
  <c r="B114" i="1" s="1"/>
  <c r="V115" i="1"/>
  <c r="B115" i="1" s="1"/>
  <c r="V116" i="1"/>
  <c r="B116" i="1" s="1"/>
  <c r="V117" i="1"/>
  <c r="B117" i="1" s="1"/>
  <c r="V118" i="1"/>
  <c r="B118" i="1" s="1"/>
  <c r="V119" i="1"/>
  <c r="B119" i="1" s="1"/>
  <c r="V120" i="1"/>
  <c r="B120" i="1" s="1"/>
  <c r="V121" i="1"/>
  <c r="B121" i="1" s="1"/>
  <c r="V122" i="1"/>
  <c r="B122" i="1" s="1"/>
  <c r="V123" i="1"/>
  <c r="B123" i="1" s="1"/>
  <c r="V124" i="1"/>
  <c r="B124" i="1" s="1"/>
  <c r="V125" i="1"/>
  <c r="B125" i="1" s="1"/>
  <c r="V126" i="1"/>
  <c r="B126" i="1" s="1"/>
  <c r="V127" i="1"/>
  <c r="B127" i="1" s="1"/>
  <c r="V128" i="1"/>
  <c r="B128" i="1" s="1"/>
  <c r="V129" i="1"/>
  <c r="B129" i="1" s="1"/>
  <c r="V130" i="1"/>
  <c r="B130" i="1" s="1"/>
  <c r="V131" i="1"/>
  <c r="B131" i="1" s="1"/>
  <c r="V132" i="1"/>
  <c r="B132" i="1" s="1"/>
  <c r="V133" i="1"/>
  <c r="B133" i="1" s="1"/>
  <c r="V134" i="1"/>
  <c r="B134" i="1" s="1"/>
  <c r="V135" i="1"/>
  <c r="B135" i="1" s="1"/>
  <c r="V136" i="1"/>
  <c r="B136" i="1" s="1"/>
  <c r="V137" i="1"/>
  <c r="B137" i="1" s="1"/>
  <c r="V138" i="1"/>
  <c r="B138" i="1" s="1"/>
  <c r="V139" i="1"/>
  <c r="B139" i="1" s="1"/>
  <c r="V140" i="1"/>
  <c r="B140" i="1" s="1"/>
  <c r="V141" i="1"/>
  <c r="B141" i="1" s="1"/>
  <c r="V142" i="1"/>
  <c r="B142" i="1" s="1"/>
  <c r="V143" i="1"/>
  <c r="B143" i="1" s="1"/>
  <c r="V144" i="1"/>
  <c r="B144" i="1" s="1"/>
  <c r="V145" i="1"/>
  <c r="B145" i="1" s="1"/>
  <c r="V146" i="1"/>
  <c r="B146" i="1" s="1"/>
  <c r="V147" i="1"/>
  <c r="B147" i="1" s="1"/>
  <c r="V148" i="1"/>
  <c r="B148" i="1" s="1"/>
  <c r="V149" i="1"/>
  <c r="B149" i="1" s="1"/>
  <c r="V150" i="1"/>
  <c r="B150" i="1" s="1"/>
  <c r="V151" i="1"/>
  <c r="B151" i="1" s="1"/>
  <c r="V152" i="1"/>
  <c r="B152" i="1" s="1"/>
  <c r="V153" i="1"/>
  <c r="B153" i="1" s="1"/>
  <c r="V154" i="1"/>
  <c r="B154" i="1" s="1"/>
  <c r="V155" i="1"/>
  <c r="B155" i="1" s="1"/>
  <c r="V156" i="1"/>
  <c r="B156" i="1" s="1"/>
  <c r="V157" i="1"/>
  <c r="B157" i="1" s="1"/>
  <c r="V158" i="1"/>
  <c r="B158" i="1" s="1"/>
  <c r="V159" i="1"/>
  <c r="B159" i="1" s="1"/>
  <c r="V160" i="1"/>
  <c r="B160" i="1" s="1"/>
  <c r="V161" i="1"/>
  <c r="B161" i="1" s="1"/>
  <c r="V162" i="1"/>
  <c r="B162" i="1" s="1"/>
  <c r="V163" i="1"/>
  <c r="B163" i="1" s="1"/>
  <c r="V164" i="1"/>
  <c r="B164" i="1" s="1"/>
  <c r="V165" i="1"/>
  <c r="B165" i="1" s="1"/>
  <c r="V166" i="1"/>
  <c r="B166" i="1" s="1"/>
  <c r="V167" i="1"/>
  <c r="B167" i="1" s="1"/>
  <c r="V168" i="1"/>
  <c r="B168" i="1" s="1"/>
  <c r="V169" i="1"/>
  <c r="B169" i="1" s="1"/>
  <c r="V170" i="1"/>
  <c r="B170" i="1" s="1"/>
  <c r="V171" i="1"/>
  <c r="B171" i="1" s="1"/>
  <c r="V172" i="1"/>
  <c r="B172" i="1" s="1"/>
  <c r="V173" i="1"/>
  <c r="B173" i="1" s="1"/>
  <c r="V174" i="1"/>
  <c r="B174" i="1" s="1"/>
  <c r="V175" i="1"/>
  <c r="B175" i="1" s="1"/>
  <c r="V176" i="1"/>
  <c r="B176" i="1" s="1"/>
  <c r="V177" i="1"/>
  <c r="B177" i="1" s="1"/>
  <c r="V178" i="1"/>
  <c r="B178" i="1" s="1"/>
  <c r="V179" i="1"/>
  <c r="B179" i="1" s="1"/>
  <c r="V180" i="1"/>
  <c r="B180" i="1" s="1"/>
  <c r="V181" i="1"/>
  <c r="B181" i="1" s="1"/>
  <c r="V182" i="1"/>
  <c r="B182" i="1" s="1"/>
  <c r="V183" i="1"/>
  <c r="B183" i="1" s="1"/>
  <c r="V184" i="1"/>
  <c r="B184" i="1" s="1"/>
  <c r="V185" i="1"/>
  <c r="B185" i="1" s="1"/>
  <c r="V186" i="1"/>
  <c r="B186" i="1" s="1"/>
  <c r="V187" i="1"/>
  <c r="B187" i="1" s="1"/>
  <c r="V188" i="1"/>
  <c r="B188" i="1" s="1"/>
  <c r="V189" i="1"/>
  <c r="B189" i="1" s="1"/>
  <c r="V190" i="1"/>
  <c r="B190" i="1" s="1"/>
  <c r="V191" i="1"/>
  <c r="B191" i="1" s="1"/>
  <c r="V192" i="1"/>
  <c r="B192" i="1" s="1"/>
  <c r="V193" i="1"/>
  <c r="B193" i="1" s="1"/>
  <c r="V194" i="1"/>
  <c r="B194" i="1" s="1"/>
  <c r="V195" i="1"/>
  <c r="B195" i="1" s="1"/>
  <c r="V196" i="1"/>
  <c r="B196" i="1" s="1"/>
  <c r="V197" i="1"/>
  <c r="B197" i="1" s="1"/>
  <c r="V198" i="1"/>
  <c r="B198" i="1" s="1"/>
  <c r="V199" i="1"/>
  <c r="B199" i="1" s="1"/>
  <c r="V200" i="1"/>
  <c r="B200" i="1" s="1"/>
  <c r="V201" i="1"/>
  <c r="B201" i="1" s="1"/>
  <c r="V202" i="1"/>
  <c r="B202" i="1" s="1"/>
  <c r="V203" i="1"/>
  <c r="B203" i="1" s="1"/>
  <c r="V204" i="1"/>
  <c r="B204" i="1" s="1"/>
  <c r="V205" i="1"/>
  <c r="B205" i="1" s="1"/>
  <c r="V206" i="1"/>
  <c r="B206" i="1" s="1"/>
  <c r="V207" i="1"/>
  <c r="B207" i="1" s="1"/>
  <c r="V208" i="1"/>
  <c r="B208" i="1" s="1"/>
  <c r="V209" i="1"/>
  <c r="B209" i="1" s="1"/>
  <c r="V210" i="1"/>
  <c r="B210" i="1" s="1"/>
  <c r="V211" i="1"/>
  <c r="B211" i="1" s="1"/>
  <c r="V212" i="1"/>
  <c r="B212" i="1" s="1"/>
  <c r="V213" i="1"/>
  <c r="B213" i="1" s="1"/>
  <c r="V214" i="1"/>
  <c r="B214" i="1" s="1"/>
  <c r="V215" i="1"/>
  <c r="B215" i="1" s="1"/>
  <c r="V216" i="1"/>
  <c r="B216" i="1" s="1"/>
  <c r="V217" i="1"/>
  <c r="B217" i="1" s="1"/>
  <c r="V218" i="1"/>
  <c r="B218" i="1" s="1"/>
  <c r="V219" i="1"/>
  <c r="B219" i="1" s="1"/>
  <c r="V220" i="1"/>
  <c r="B220" i="1" s="1"/>
  <c r="V221" i="1"/>
  <c r="B221" i="1" s="1"/>
  <c r="V222" i="1"/>
  <c r="B222" i="1" s="1"/>
  <c r="V223" i="1"/>
  <c r="B223" i="1" s="1"/>
  <c r="V224" i="1"/>
  <c r="B224" i="1" s="1"/>
  <c r="V225" i="1"/>
  <c r="B225" i="1" s="1"/>
  <c r="V226" i="1"/>
  <c r="B226" i="1" s="1"/>
  <c r="V227" i="1"/>
  <c r="B227" i="1" s="1"/>
  <c r="V228" i="1"/>
  <c r="B228" i="1" s="1"/>
  <c r="V229" i="1"/>
  <c r="B229" i="1" s="1"/>
  <c r="V230" i="1"/>
  <c r="B230" i="1" s="1"/>
  <c r="V231" i="1"/>
  <c r="B231" i="1" s="1"/>
  <c r="V232" i="1"/>
  <c r="B232" i="1" s="1"/>
  <c r="V233" i="1"/>
  <c r="B233" i="1" s="1"/>
  <c r="V234" i="1"/>
  <c r="B234" i="1" s="1"/>
  <c r="V235" i="1"/>
  <c r="B235" i="1" s="1"/>
  <c r="V236" i="1"/>
  <c r="B236" i="1" s="1"/>
  <c r="V237" i="1"/>
  <c r="B237" i="1" s="1"/>
  <c r="V238" i="1"/>
  <c r="B238" i="1" s="1"/>
  <c r="V239" i="1"/>
  <c r="B239" i="1" s="1"/>
  <c r="V240" i="1"/>
  <c r="B240" i="1" s="1"/>
  <c r="V241" i="1"/>
  <c r="B241" i="1" s="1"/>
  <c r="V242" i="1"/>
  <c r="B242" i="1" s="1"/>
  <c r="V243" i="1"/>
  <c r="B243" i="1" s="1"/>
  <c r="V244" i="1"/>
  <c r="B244" i="1" s="1"/>
  <c r="V245" i="1"/>
  <c r="B245" i="1" s="1"/>
  <c r="V246" i="1"/>
  <c r="B246" i="1" s="1"/>
  <c r="V247" i="1"/>
  <c r="B247" i="1" s="1"/>
  <c r="V248" i="1"/>
  <c r="B248" i="1" s="1"/>
  <c r="V249" i="1"/>
  <c r="B249" i="1" s="1"/>
  <c r="V250" i="1"/>
  <c r="B250" i="1" s="1"/>
  <c r="V251" i="1"/>
  <c r="B251" i="1" s="1"/>
  <c r="V252" i="1"/>
  <c r="B252" i="1" s="1"/>
  <c r="V253" i="1"/>
  <c r="B253" i="1" s="1"/>
  <c r="V254" i="1"/>
  <c r="B254" i="1" s="1"/>
  <c r="V255" i="1"/>
  <c r="B255" i="1" s="1"/>
  <c r="V256" i="1"/>
  <c r="B256" i="1" s="1"/>
  <c r="V257" i="1"/>
  <c r="B257" i="1" s="1"/>
  <c r="V258" i="1"/>
  <c r="B258" i="1" s="1"/>
  <c r="V259" i="1"/>
  <c r="B259" i="1" s="1"/>
  <c r="V260" i="1"/>
  <c r="B260" i="1" s="1"/>
  <c r="V261" i="1"/>
  <c r="B261" i="1" s="1"/>
  <c r="V262" i="1"/>
  <c r="B262" i="1" s="1"/>
  <c r="V263" i="1"/>
  <c r="B263" i="1" s="1"/>
  <c r="V264" i="1"/>
  <c r="B264" i="1" s="1"/>
  <c r="V265" i="1"/>
  <c r="B265" i="1" s="1"/>
  <c r="V266" i="1"/>
  <c r="B266" i="1" s="1"/>
  <c r="V267" i="1"/>
  <c r="B267" i="1" s="1"/>
  <c r="V268" i="1"/>
  <c r="B268" i="1" s="1"/>
  <c r="V269" i="1"/>
  <c r="B269" i="1" s="1"/>
  <c r="V270" i="1"/>
  <c r="B270" i="1" s="1"/>
  <c r="V271" i="1"/>
  <c r="B271" i="1" s="1"/>
  <c r="V272" i="1"/>
  <c r="B272" i="1" s="1"/>
  <c r="V273" i="1"/>
  <c r="B273" i="1" s="1"/>
  <c r="E273" i="1" s="1"/>
  <c r="V274" i="1"/>
  <c r="B274" i="1" s="1"/>
  <c r="V275" i="1"/>
  <c r="B275" i="1" s="1"/>
  <c r="V276" i="1"/>
  <c r="B276" i="1" s="1"/>
  <c r="V277" i="1"/>
  <c r="B277" i="1" s="1"/>
  <c r="V278" i="1"/>
  <c r="B278" i="1" s="1"/>
  <c r="V279" i="1"/>
  <c r="B279" i="1" s="1"/>
  <c r="V280" i="1"/>
  <c r="B280" i="1" s="1"/>
  <c r="V281" i="1"/>
  <c r="B281" i="1" s="1"/>
  <c r="V282" i="1"/>
  <c r="B282" i="1" s="1"/>
  <c r="V283" i="1"/>
  <c r="B283" i="1" s="1"/>
  <c r="V284" i="1"/>
  <c r="B284" i="1" s="1"/>
  <c r="V285" i="1"/>
  <c r="B285" i="1" s="1"/>
  <c r="V286" i="1"/>
  <c r="B286" i="1" s="1"/>
  <c r="V287" i="1"/>
  <c r="B287" i="1" s="1"/>
  <c r="V288" i="1"/>
  <c r="B288" i="1" s="1"/>
  <c r="V289" i="1"/>
  <c r="B289" i="1" s="1"/>
  <c r="V290" i="1"/>
  <c r="B290" i="1" s="1"/>
  <c r="V291" i="1"/>
  <c r="B291" i="1" s="1"/>
  <c r="V292" i="1"/>
  <c r="B292" i="1" s="1"/>
  <c r="V293" i="1"/>
  <c r="B293" i="1" s="1"/>
  <c r="V294" i="1"/>
  <c r="B294" i="1" s="1"/>
  <c r="V295" i="1"/>
  <c r="B295" i="1" s="1"/>
  <c r="V296" i="1"/>
  <c r="B296" i="1" s="1"/>
  <c r="V297" i="1"/>
  <c r="B297" i="1" s="1"/>
  <c r="V298" i="1"/>
  <c r="B298" i="1" s="1"/>
  <c r="V299" i="1"/>
  <c r="B299" i="1" s="1"/>
  <c r="V300" i="1"/>
  <c r="B300" i="1" s="1"/>
  <c r="V301" i="1"/>
  <c r="B301" i="1" s="1"/>
  <c r="V302" i="1"/>
  <c r="B302" i="1" s="1"/>
  <c r="V303" i="1"/>
  <c r="B303" i="1" s="1"/>
  <c r="V304" i="1"/>
  <c r="B304" i="1" s="1"/>
  <c r="V305" i="1"/>
  <c r="B305" i="1" s="1"/>
  <c r="V306" i="1"/>
  <c r="B306" i="1" s="1"/>
  <c r="V307" i="1"/>
  <c r="B307" i="1" s="1"/>
  <c r="V308" i="1"/>
  <c r="B308" i="1" s="1"/>
  <c r="V309" i="1"/>
  <c r="B309" i="1" s="1"/>
  <c r="V310" i="1"/>
  <c r="B310" i="1" s="1"/>
  <c r="V311" i="1"/>
  <c r="B311" i="1" s="1"/>
  <c r="V312" i="1"/>
  <c r="B312" i="1" s="1"/>
  <c r="V313" i="1"/>
  <c r="B313" i="1" s="1"/>
  <c r="V314" i="1"/>
  <c r="B314" i="1" s="1"/>
  <c r="V315" i="1"/>
  <c r="B315" i="1" s="1"/>
  <c r="V316" i="1"/>
  <c r="B316" i="1" s="1"/>
  <c r="V317" i="1"/>
  <c r="B317" i="1" s="1"/>
  <c r="V318" i="1"/>
  <c r="B318" i="1" s="1"/>
  <c r="V319" i="1"/>
  <c r="B319" i="1" s="1"/>
  <c r="V320" i="1"/>
  <c r="B320" i="1" s="1"/>
  <c r="V321" i="1"/>
  <c r="B321" i="1" s="1"/>
  <c r="V322" i="1"/>
  <c r="B322" i="1" s="1"/>
  <c r="V323" i="1"/>
  <c r="B323" i="1" s="1"/>
  <c r="V324" i="1"/>
  <c r="B324" i="1" s="1"/>
  <c r="V325" i="1"/>
  <c r="B325" i="1" s="1"/>
  <c r="V326" i="1"/>
  <c r="B326" i="1" s="1"/>
  <c r="V327" i="1"/>
  <c r="B327" i="1" s="1"/>
  <c r="V328" i="1"/>
  <c r="B328" i="1" s="1"/>
  <c r="V329" i="1"/>
  <c r="B329" i="1" s="1"/>
  <c r="V330" i="1"/>
  <c r="B330" i="1" s="1"/>
  <c r="V331" i="1"/>
  <c r="B331" i="1" s="1"/>
  <c r="V332" i="1"/>
  <c r="B332" i="1" s="1"/>
  <c r="V333" i="1"/>
  <c r="B333" i="1" s="1"/>
  <c r="V334" i="1"/>
  <c r="B334" i="1" s="1"/>
  <c r="V335" i="1"/>
  <c r="B335" i="1" s="1"/>
  <c r="V336" i="1"/>
  <c r="B336" i="1" s="1"/>
  <c r="V337" i="1"/>
  <c r="B337" i="1" s="1"/>
  <c r="E337" i="1" s="1"/>
  <c r="V338" i="1"/>
  <c r="B338" i="1" s="1"/>
  <c r="V339" i="1"/>
  <c r="B339" i="1" s="1"/>
  <c r="V340" i="1"/>
  <c r="B340" i="1" s="1"/>
  <c r="V341" i="1"/>
  <c r="B341" i="1" s="1"/>
  <c r="V342" i="1"/>
  <c r="B342" i="1" s="1"/>
  <c r="V2" i="1"/>
  <c r="B2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2" i="1"/>
  <c r="F8" i="6"/>
  <c r="F9" i="6"/>
  <c r="F10" i="6"/>
  <c r="F11" i="6"/>
  <c r="F18" i="6"/>
  <c r="F24" i="6"/>
  <c r="F25" i="6"/>
  <c r="F27" i="6"/>
  <c r="F34" i="6"/>
  <c r="F40" i="6"/>
  <c r="F41" i="6"/>
  <c r="F42" i="6"/>
  <c r="F43" i="6"/>
  <c r="F50" i="6"/>
  <c r="F56" i="6"/>
  <c r="F60" i="6"/>
  <c r="F61" i="6"/>
  <c r="F62" i="6"/>
  <c r="F74" i="6"/>
  <c r="F75" i="6"/>
  <c r="F76" i="6"/>
  <c r="F77" i="6"/>
  <c r="F78" i="6"/>
  <c r="F90" i="6"/>
  <c r="F91" i="6"/>
  <c r="F92" i="6"/>
  <c r="F93" i="6"/>
  <c r="F94" i="6"/>
  <c r="F106" i="6"/>
  <c r="F107" i="6"/>
  <c r="F108" i="6"/>
  <c r="F109" i="6"/>
  <c r="F110" i="6"/>
  <c r="F122" i="6"/>
  <c r="F123" i="6"/>
  <c r="F124" i="6"/>
  <c r="F125" i="6"/>
  <c r="F126" i="6"/>
  <c r="F138" i="6"/>
  <c r="F139" i="6"/>
  <c r="F140" i="6"/>
  <c r="F141" i="6"/>
  <c r="F142" i="6"/>
  <c r="F154" i="6"/>
  <c r="F155" i="6"/>
  <c r="F156" i="6"/>
  <c r="F157" i="6"/>
  <c r="F158" i="6"/>
  <c r="F170" i="6"/>
  <c r="F171" i="6"/>
  <c r="F172" i="6"/>
  <c r="F173" i="6"/>
  <c r="F174" i="6"/>
  <c r="F186" i="6"/>
  <c r="F187" i="6"/>
  <c r="F188" i="6"/>
  <c r="F189" i="6"/>
  <c r="F190" i="6"/>
  <c r="G3" i="6"/>
  <c r="F3" i="6" s="1"/>
  <c r="G4" i="6"/>
  <c r="F4" i="6" s="1"/>
  <c r="G5" i="6"/>
  <c r="F5" i="6" s="1"/>
  <c r="G6" i="6"/>
  <c r="F6" i="6" s="1"/>
  <c r="G7" i="6"/>
  <c r="F7" i="6" s="1"/>
  <c r="G8" i="6"/>
  <c r="G9" i="6"/>
  <c r="G10" i="6"/>
  <c r="G11" i="6"/>
  <c r="G12" i="6"/>
  <c r="F12" i="6" s="1"/>
  <c r="G13" i="6"/>
  <c r="F13" i="6" s="1"/>
  <c r="G14" i="6"/>
  <c r="F14" i="6" s="1"/>
  <c r="G15" i="6"/>
  <c r="F15" i="6" s="1"/>
  <c r="G16" i="6"/>
  <c r="F16" i="6" s="1"/>
  <c r="G17" i="6"/>
  <c r="F17" i="6" s="1"/>
  <c r="G18" i="6"/>
  <c r="G19" i="6"/>
  <c r="F19" i="6" s="1"/>
  <c r="G20" i="6"/>
  <c r="F20" i="6" s="1"/>
  <c r="G21" i="6"/>
  <c r="F21" i="6" s="1"/>
  <c r="G22" i="6"/>
  <c r="F22" i="6" s="1"/>
  <c r="G23" i="6"/>
  <c r="F23" i="6" s="1"/>
  <c r="G24" i="6"/>
  <c r="G25" i="6"/>
  <c r="G26" i="6"/>
  <c r="F26" i="6" s="1"/>
  <c r="G27" i="6"/>
  <c r="G28" i="6"/>
  <c r="F28" i="6" s="1"/>
  <c r="G29" i="6"/>
  <c r="F29" i="6" s="1"/>
  <c r="G30" i="6"/>
  <c r="F30" i="6" s="1"/>
  <c r="G31" i="6"/>
  <c r="F31" i="6" s="1"/>
  <c r="G32" i="6"/>
  <c r="F32" i="6" s="1"/>
  <c r="G33" i="6"/>
  <c r="F33" i="6" s="1"/>
  <c r="G34" i="6"/>
  <c r="G35" i="6"/>
  <c r="F35" i="6" s="1"/>
  <c r="G36" i="6"/>
  <c r="F36" i="6" s="1"/>
  <c r="G37" i="6"/>
  <c r="F37" i="6" s="1"/>
  <c r="G38" i="6"/>
  <c r="F38" i="6" s="1"/>
  <c r="G39" i="6"/>
  <c r="F39" i="6" s="1"/>
  <c r="G40" i="6"/>
  <c r="G41" i="6"/>
  <c r="G42" i="6"/>
  <c r="G43" i="6"/>
  <c r="G44" i="6"/>
  <c r="F44" i="6" s="1"/>
  <c r="G45" i="6"/>
  <c r="F45" i="6" s="1"/>
  <c r="G46" i="6"/>
  <c r="F46" i="6" s="1"/>
  <c r="G47" i="6"/>
  <c r="F47" i="6" s="1"/>
  <c r="G48" i="6"/>
  <c r="F48" i="6" s="1"/>
  <c r="G49" i="6"/>
  <c r="F49" i="6" s="1"/>
  <c r="G50" i="6"/>
  <c r="G51" i="6"/>
  <c r="F51" i="6" s="1"/>
  <c r="G52" i="6"/>
  <c r="F52" i="6" s="1"/>
  <c r="G53" i="6"/>
  <c r="F53" i="6" s="1"/>
  <c r="G54" i="6"/>
  <c r="F54" i="6" s="1"/>
  <c r="G55" i="6"/>
  <c r="F55" i="6" s="1"/>
  <c r="G56" i="6"/>
  <c r="G57" i="6"/>
  <c r="F57" i="6" s="1"/>
  <c r="G58" i="6"/>
  <c r="F58" i="6" s="1"/>
  <c r="G59" i="6"/>
  <c r="F59" i="6" s="1"/>
  <c r="G60" i="6"/>
  <c r="G61" i="6"/>
  <c r="G62" i="6"/>
  <c r="G63" i="6"/>
  <c r="F63" i="6" s="1"/>
  <c r="G64" i="6"/>
  <c r="F64" i="6" s="1"/>
  <c r="G65" i="6"/>
  <c r="F65" i="6" s="1"/>
  <c r="G66" i="6"/>
  <c r="F66" i="6" s="1"/>
  <c r="G67" i="6"/>
  <c r="F67" i="6" s="1"/>
  <c r="G68" i="6"/>
  <c r="F68" i="6" s="1"/>
  <c r="G69" i="6"/>
  <c r="F69" i="6" s="1"/>
  <c r="G70" i="6"/>
  <c r="F70" i="6" s="1"/>
  <c r="G71" i="6"/>
  <c r="F71" i="6" s="1"/>
  <c r="G72" i="6"/>
  <c r="F72" i="6" s="1"/>
  <c r="G73" i="6"/>
  <c r="F73" i="6" s="1"/>
  <c r="G74" i="6"/>
  <c r="G75" i="6"/>
  <c r="G76" i="6"/>
  <c r="G77" i="6"/>
  <c r="G78" i="6"/>
  <c r="G79" i="6"/>
  <c r="F79" i="6" s="1"/>
  <c r="G80" i="6"/>
  <c r="F80" i="6" s="1"/>
  <c r="G81" i="6"/>
  <c r="F81" i="6" s="1"/>
  <c r="G82" i="6"/>
  <c r="F82" i="6" s="1"/>
  <c r="G83" i="6"/>
  <c r="F83" i="6" s="1"/>
  <c r="G84" i="6"/>
  <c r="F84" i="6" s="1"/>
  <c r="G85" i="6"/>
  <c r="F85" i="6" s="1"/>
  <c r="G86" i="6"/>
  <c r="F86" i="6" s="1"/>
  <c r="G87" i="6"/>
  <c r="F87" i="6" s="1"/>
  <c r="G88" i="6"/>
  <c r="F88" i="6" s="1"/>
  <c r="G89" i="6"/>
  <c r="F89" i="6" s="1"/>
  <c r="G90" i="6"/>
  <c r="G91" i="6"/>
  <c r="G92" i="6"/>
  <c r="G93" i="6"/>
  <c r="G94" i="6"/>
  <c r="G95" i="6"/>
  <c r="F95" i="6" s="1"/>
  <c r="G96" i="6"/>
  <c r="F96" i="6" s="1"/>
  <c r="G97" i="6"/>
  <c r="F97" i="6" s="1"/>
  <c r="G98" i="6"/>
  <c r="F98" i="6" s="1"/>
  <c r="G99" i="6"/>
  <c r="F99" i="6" s="1"/>
  <c r="G100" i="6"/>
  <c r="F100" i="6" s="1"/>
  <c r="G101" i="6"/>
  <c r="F101" i="6" s="1"/>
  <c r="G102" i="6"/>
  <c r="F102" i="6" s="1"/>
  <c r="G103" i="6"/>
  <c r="F103" i="6" s="1"/>
  <c r="G104" i="6"/>
  <c r="F104" i="6" s="1"/>
  <c r="G105" i="6"/>
  <c r="F105" i="6" s="1"/>
  <c r="G106" i="6"/>
  <c r="G107" i="6"/>
  <c r="G108" i="6"/>
  <c r="G109" i="6"/>
  <c r="G110" i="6"/>
  <c r="G111" i="6"/>
  <c r="F111" i="6" s="1"/>
  <c r="G112" i="6"/>
  <c r="F112" i="6" s="1"/>
  <c r="G113" i="6"/>
  <c r="F113" i="6" s="1"/>
  <c r="G114" i="6"/>
  <c r="F114" i="6" s="1"/>
  <c r="G115" i="6"/>
  <c r="F115" i="6" s="1"/>
  <c r="G116" i="6"/>
  <c r="F116" i="6" s="1"/>
  <c r="G117" i="6"/>
  <c r="F117" i="6" s="1"/>
  <c r="G118" i="6"/>
  <c r="F118" i="6" s="1"/>
  <c r="G119" i="6"/>
  <c r="F119" i="6" s="1"/>
  <c r="G120" i="6"/>
  <c r="F120" i="6" s="1"/>
  <c r="G121" i="6"/>
  <c r="F121" i="6" s="1"/>
  <c r="G122" i="6"/>
  <c r="G123" i="6"/>
  <c r="G124" i="6"/>
  <c r="G125" i="6"/>
  <c r="G126" i="6"/>
  <c r="G127" i="6"/>
  <c r="F127" i="6" s="1"/>
  <c r="G128" i="6"/>
  <c r="F128" i="6" s="1"/>
  <c r="G129" i="6"/>
  <c r="F129" i="6" s="1"/>
  <c r="G130" i="6"/>
  <c r="F130" i="6" s="1"/>
  <c r="G131" i="6"/>
  <c r="F131" i="6" s="1"/>
  <c r="G132" i="6"/>
  <c r="F132" i="6" s="1"/>
  <c r="G133" i="6"/>
  <c r="F133" i="6" s="1"/>
  <c r="G134" i="6"/>
  <c r="F134" i="6" s="1"/>
  <c r="G135" i="6"/>
  <c r="F135" i="6" s="1"/>
  <c r="G136" i="6"/>
  <c r="F136" i="6" s="1"/>
  <c r="G137" i="6"/>
  <c r="F137" i="6" s="1"/>
  <c r="G138" i="6"/>
  <c r="G139" i="6"/>
  <c r="G140" i="6"/>
  <c r="G141" i="6"/>
  <c r="G142" i="6"/>
  <c r="G143" i="6"/>
  <c r="F143" i="6" s="1"/>
  <c r="G144" i="6"/>
  <c r="F144" i="6" s="1"/>
  <c r="G145" i="6"/>
  <c r="F145" i="6" s="1"/>
  <c r="G146" i="6"/>
  <c r="F146" i="6" s="1"/>
  <c r="G147" i="6"/>
  <c r="F147" i="6" s="1"/>
  <c r="G148" i="6"/>
  <c r="F148" i="6" s="1"/>
  <c r="G149" i="6"/>
  <c r="F149" i="6" s="1"/>
  <c r="G150" i="6"/>
  <c r="F150" i="6" s="1"/>
  <c r="G151" i="6"/>
  <c r="F151" i="6" s="1"/>
  <c r="G152" i="6"/>
  <c r="F152" i="6" s="1"/>
  <c r="G153" i="6"/>
  <c r="F153" i="6" s="1"/>
  <c r="G154" i="6"/>
  <c r="G155" i="6"/>
  <c r="G156" i="6"/>
  <c r="G157" i="6"/>
  <c r="G158" i="6"/>
  <c r="G159" i="6"/>
  <c r="F159" i="6" s="1"/>
  <c r="G160" i="6"/>
  <c r="F160" i="6" s="1"/>
  <c r="G161" i="6"/>
  <c r="F161" i="6" s="1"/>
  <c r="G162" i="6"/>
  <c r="F162" i="6" s="1"/>
  <c r="G163" i="6"/>
  <c r="F163" i="6" s="1"/>
  <c r="G164" i="6"/>
  <c r="F164" i="6" s="1"/>
  <c r="G165" i="6"/>
  <c r="F165" i="6" s="1"/>
  <c r="G166" i="6"/>
  <c r="F166" i="6" s="1"/>
  <c r="G167" i="6"/>
  <c r="F167" i="6" s="1"/>
  <c r="G168" i="6"/>
  <c r="F168" i="6" s="1"/>
  <c r="G169" i="6"/>
  <c r="F169" i="6" s="1"/>
  <c r="G170" i="6"/>
  <c r="G171" i="6"/>
  <c r="G172" i="6"/>
  <c r="G173" i="6"/>
  <c r="G174" i="6"/>
  <c r="G175" i="6"/>
  <c r="F175" i="6" s="1"/>
  <c r="G176" i="6"/>
  <c r="F176" i="6" s="1"/>
  <c r="G177" i="6"/>
  <c r="F177" i="6" s="1"/>
  <c r="G178" i="6"/>
  <c r="F178" i="6" s="1"/>
  <c r="G179" i="6"/>
  <c r="F179" i="6" s="1"/>
  <c r="G180" i="6"/>
  <c r="F180" i="6" s="1"/>
  <c r="G181" i="6"/>
  <c r="F181" i="6" s="1"/>
  <c r="G182" i="6"/>
  <c r="F182" i="6" s="1"/>
  <c r="G183" i="6"/>
  <c r="F183" i="6" s="1"/>
  <c r="G184" i="6"/>
  <c r="F184" i="6" s="1"/>
  <c r="G185" i="6"/>
  <c r="F185" i="6" s="1"/>
  <c r="G186" i="6"/>
  <c r="G187" i="6"/>
  <c r="G188" i="6"/>
  <c r="G189" i="6"/>
  <c r="G190" i="6"/>
  <c r="G191" i="6"/>
  <c r="F191" i="6" s="1"/>
  <c r="G192" i="6"/>
  <c r="F192" i="6" s="1"/>
  <c r="G193" i="6"/>
  <c r="F193" i="6" s="1"/>
  <c r="G194" i="6"/>
  <c r="F194" i="6" s="1"/>
  <c r="G195" i="6"/>
  <c r="F195" i="6" s="1"/>
  <c r="G196" i="6"/>
  <c r="F196" i="6" s="1"/>
  <c r="G197" i="6"/>
  <c r="F197" i="6" s="1"/>
  <c r="G198" i="6"/>
  <c r="F198" i="6" s="1"/>
  <c r="G199" i="6"/>
  <c r="F199" i="6" s="1"/>
  <c r="G2" i="6"/>
  <c r="F2" i="6" s="1"/>
  <c r="M101" i="6" a="1"/>
  <c r="M101" i="6" s="1"/>
  <c r="AA101" i="6" a="1"/>
  <c r="AA101" i="6" s="1"/>
  <c r="L111" i="6" a="1"/>
  <c r="L111" i="6" s="1"/>
  <c r="O111" i="6" a="1"/>
  <c r="O111" i="6" s="1"/>
  <c r="X150" i="6" a="1"/>
  <c r="X150" i="6"/>
  <c r="AA150" i="6" a="1"/>
  <c r="AA150" i="6" s="1"/>
  <c r="AD150" i="6" a="1"/>
  <c r="AD150" i="6" s="1"/>
  <c r="S167" i="6" a="1"/>
  <c r="S167" i="6"/>
  <c r="O181" i="6" a="1"/>
  <c r="O181" i="6" s="1"/>
  <c r="C5" i="5"/>
  <c r="C4" i="5"/>
  <c r="C3" i="5"/>
  <c r="C2" i="5"/>
  <c r="C1" i="5"/>
  <c r="J347" i="1"/>
  <c r="I347" i="1"/>
  <c r="H34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2" i="1"/>
  <c r="Y149" i="1"/>
  <c r="C149" i="1" s="1"/>
  <c r="Y150" i="1"/>
  <c r="C150" i="1" s="1"/>
  <c r="Y154" i="1"/>
  <c r="C154" i="1" s="1"/>
  <c r="Y160" i="1"/>
  <c r="C160" i="1" s="1"/>
  <c r="Y161" i="1"/>
  <c r="C161" i="1" s="1"/>
  <c r="Y162" i="1"/>
  <c r="C162" i="1" s="1"/>
  <c r="Y163" i="1"/>
  <c r="C163" i="1" s="1"/>
  <c r="Y164" i="1"/>
  <c r="C164" i="1" s="1"/>
  <c r="Y165" i="1"/>
  <c r="C165" i="1" s="1"/>
  <c r="Y167" i="1"/>
  <c r="C167" i="1" s="1"/>
  <c r="Y168" i="1"/>
  <c r="C168" i="1" s="1"/>
  <c r="Y169" i="1"/>
  <c r="C169" i="1" s="1"/>
  <c r="Y192" i="1"/>
  <c r="C192" i="1" s="1"/>
  <c r="Y193" i="1"/>
  <c r="C193" i="1" s="1"/>
  <c r="Y197" i="1"/>
  <c r="C197" i="1" s="1"/>
  <c r="Y199" i="1"/>
  <c r="C199" i="1" s="1"/>
  <c r="Y200" i="1"/>
  <c r="C200" i="1" s="1"/>
  <c r="Y201" i="1"/>
  <c r="C201" i="1" s="1"/>
  <c r="Y202" i="1"/>
  <c r="C202" i="1" s="1"/>
  <c r="Y203" i="1"/>
  <c r="C203" i="1" s="1"/>
  <c r="Y215" i="1"/>
  <c r="C215" i="1" s="1"/>
  <c r="Y222" i="1"/>
  <c r="C222" i="1" s="1"/>
  <c r="Y223" i="1"/>
  <c r="C223" i="1" s="1"/>
  <c r="Y224" i="1"/>
  <c r="C224" i="1" s="1"/>
  <c r="Y225" i="1"/>
  <c r="C225" i="1" s="1"/>
  <c r="Y227" i="1"/>
  <c r="C227" i="1" s="1"/>
  <c r="Y228" i="1"/>
  <c r="C228" i="1" s="1"/>
  <c r="Y235" i="1"/>
  <c r="C235" i="1" s="1"/>
  <c r="Y250" i="1"/>
  <c r="C250" i="1" s="1"/>
  <c r="Y251" i="1"/>
  <c r="C251" i="1" s="1"/>
  <c r="Y264" i="1"/>
  <c r="C264" i="1" s="1"/>
  <c r="Y312" i="1"/>
  <c r="C312" i="1" s="1"/>
  <c r="Y331" i="1"/>
  <c r="C331" i="1" s="1"/>
  <c r="Y332" i="1"/>
  <c r="C332" i="1" s="1"/>
  <c r="Y10" i="1"/>
  <c r="C10" i="1" s="1"/>
  <c r="X3" i="1"/>
  <c r="X4" i="1" s="1"/>
  <c r="X5" i="1" s="1"/>
  <c r="X6" i="1"/>
  <c r="X7" i="1"/>
  <c r="X8" i="1"/>
  <c r="X9" i="1" s="1"/>
  <c r="X10" i="1" s="1"/>
  <c r="X11" i="1" s="1"/>
  <c r="X12" i="1" s="1"/>
  <c r="X13" i="1" s="1"/>
  <c r="X14" i="1" s="1"/>
  <c r="X15" i="1" s="1"/>
  <c r="X16" i="1"/>
  <c r="X17" i="1"/>
  <c r="X18" i="1"/>
  <c r="X19" i="1"/>
  <c r="X20" i="1"/>
  <c r="X21" i="1" s="1"/>
  <c r="X22" i="1" s="1"/>
  <c r="X23" i="1"/>
  <c r="X24" i="1"/>
  <c r="X25" i="1"/>
  <c r="X26" i="1"/>
  <c r="X27" i="1"/>
  <c r="X28" i="1"/>
  <c r="X29" i="1" s="1"/>
  <c r="X30" i="1" s="1"/>
  <c r="X31" i="1" s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 s="1"/>
  <c r="X46" i="1"/>
  <c r="X47" i="1"/>
  <c r="X48" i="1"/>
  <c r="X49" i="1"/>
  <c r="X50" i="1"/>
  <c r="X51" i="1"/>
  <c r="X52" i="1"/>
  <c r="X53" i="1" s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 s="1"/>
  <c r="X76" i="1"/>
  <c r="X77" i="1"/>
  <c r="X78" i="1" s="1"/>
  <c r="X79" i="1" s="1"/>
  <c r="X80" i="1"/>
  <c r="X81" i="1" s="1"/>
  <c r="X82" i="1"/>
  <c r="X83" i="1" s="1"/>
  <c r="X84" i="1"/>
  <c r="X85" i="1"/>
  <c r="X86" i="1"/>
  <c r="X87" i="1"/>
  <c r="X88" i="1"/>
  <c r="X89" i="1"/>
  <c r="X90" i="1"/>
  <c r="X91" i="1"/>
  <c r="X92" i="1"/>
  <c r="X93" i="1"/>
  <c r="X94" i="1" s="1"/>
  <c r="X95" i="1"/>
  <c r="X96" i="1"/>
  <c r="X97" i="1"/>
  <c r="X98" i="1"/>
  <c r="X99" i="1"/>
  <c r="X100" i="1" s="1"/>
  <c r="X101" i="1" s="1"/>
  <c r="X102" i="1"/>
  <c r="X103" i="1"/>
  <c r="X104" i="1" s="1"/>
  <c r="X105" i="1"/>
  <c r="X106" i="1"/>
  <c r="X107" i="1"/>
  <c r="X108" i="1"/>
  <c r="X109" i="1" s="1"/>
  <c r="X110" i="1" s="1"/>
  <c r="X111" i="1" s="1"/>
  <c r="X112" i="1" s="1"/>
  <c r="X113" i="1" s="1"/>
  <c r="X114" i="1" s="1"/>
  <c r="X115" i="1" s="1"/>
  <c r="X116" i="1" s="1"/>
  <c r="X117" i="1" s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52" i="1"/>
  <c r="X156" i="1"/>
  <c r="X157" i="1"/>
  <c r="X158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 s="1"/>
  <c r="X190" i="1"/>
  <c r="X196" i="1"/>
  <c r="X197" i="1"/>
  <c r="X206" i="1"/>
  <c r="X207" i="1"/>
  <c r="X208" i="1"/>
  <c r="X209" i="1"/>
  <c r="X210" i="1"/>
  <c r="X211" i="1" s="1"/>
  <c r="X212" i="1"/>
  <c r="X213" i="1"/>
  <c r="X214" i="1"/>
  <c r="X215" i="1"/>
  <c r="X216" i="1" s="1"/>
  <c r="X217" i="1" s="1"/>
  <c r="X218" i="1"/>
  <c r="X219" i="1"/>
  <c r="X220" i="1"/>
  <c r="X221" i="1"/>
  <c r="X222" i="1"/>
  <c r="X223" i="1" s="1"/>
  <c r="X224" i="1" s="1"/>
  <c r="X225" i="1" s="1"/>
  <c r="X226" i="1" s="1"/>
  <c r="X227" i="1" s="1"/>
  <c r="X228" i="1" s="1"/>
  <c r="X229" i="1" s="1"/>
  <c r="X230" i="1"/>
  <c r="X231" i="1"/>
  <c r="X232" i="1"/>
  <c r="X233" i="1"/>
  <c r="X234" i="1"/>
  <c r="X235" i="1"/>
  <c r="X236" i="1" s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 s="1"/>
  <c r="X252" i="1" s="1"/>
  <c r="X253" i="1"/>
  <c r="X256" i="1"/>
  <c r="X257" i="1"/>
  <c r="X258" i="1"/>
  <c r="X259" i="1"/>
  <c r="X260" i="1"/>
  <c r="X261" i="1"/>
  <c r="X262" i="1"/>
  <c r="X263" i="1"/>
  <c r="X264" i="1"/>
  <c r="X265" i="1" s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 s="1"/>
  <c r="X303" i="1"/>
  <c r="X304" i="1"/>
  <c r="X305" i="1"/>
  <c r="X306" i="1"/>
  <c r="X307" i="1"/>
  <c r="X308" i="1"/>
  <c r="X309" i="1"/>
  <c r="X310" i="1"/>
  <c r="X311" i="1"/>
  <c r="X312" i="1"/>
  <c r="X313" i="1" s="1"/>
  <c r="X314" i="1"/>
  <c r="X315" i="1"/>
  <c r="X316" i="1"/>
  <c r="X317" i="1"/>
  <c r="X318" i="1"/>
  <c r="X319" i="1"/>
  <c r="X320" i="1" s="1"/>
  <c r="X321" i="1"/>
  <c r="X322" i="1"/>
  <c r="X323" i="1"/>
  <c r="X324" i="1"/>
  <c r="X325" i="1"/>
  <c r="X326" i="1"/>
  <c r="X327" i="1"/>
  <c r="X328" i="1"/>
  <c r="X329" i="1"/>
  <c r="X330" i="1" s="1"/>
  <c r="X331" i="1"/>
  <c r="X332" i="1" s="1"/>
  <c r="X333" i="1" s="1"/>
  <c r="X334" i="1" s="1"/>
  <c r="X335" i="1"/>
  <c r="X336" i="1"/>
  <c r="X337" i="1"/>
  <c r="X338" i="1"/>
  <c r="X339" i="1"/>
  <c r="X340" i="1"/>
  <c r="X341" i="1"/>
  <c r="X342" i="1"/>
  <c r="X2" i="1"/>
  <c r="Y1" i="1"/>
  <c r="Y3" i="1"/>
  <c r="C3" i="1" s="1"/>
  <c r="Y4" i="1"/>
  <c r="C4" i="1" s="1"/>
  <c r="Y8" i="1"/>
  <c r="C8" i="1" s="1"/>
  <c r="Y9" i="1"/>
  <c r="C9" i="1" s="1"/>
  <c r="Y11" i="1"/>
  <c r="C11" i="1" s="1"/>
  <c r="Y12" i="1"/>
  <c r="C12" i="1" s="1"/>
  <c r="Y13" i="1"/>
  <c r="C13" i="1" s="1"/>
  <c r="Y14" i="1"/>
  <c r="C14" i="1" s="1"/>
  <c r="Y20" i="1"/>
  <c r="C20" i="1" s="1"/>
  <c r="Y21" i="1"/>
  <c r="C21" i="1" s="1"/>
  <c r="Y28" i="1"/>
  <c r="C28" i="1" s="1"/>
  <c r="Y29" i="1"/>
  <c r="C29" i="1" s="1"/>
  <c r="Y30" i="1"/>
  <c r="C30" i="1" s="1"/>
  <c r="Y44" i="1"/>
  <c r="C44" i="1" s="1"/>
  <c r="Y52" i="1"/>
  <c r="C52" i="1" s="1"/>
  <c r="Y74" i="1"/>
  <c r="C74" i="1" s="1"/>
  <c r="Y77" i="1"/>
  <c r="C77" i="1" s="1"/>
  <c r="Y78" i="1"/>
  <c r="C78" i="1" s="1"/>
  <c r="Y80" i="1"/>
  <c r="C80" i="1" s="1"/>
  <c r="Y82" i="1"/>
  <c r="C82" i="1" s="1"/>
  <c r="Y93" i="1"/>
  <c r="C93" i="1" s="1"/>
  <c r="Y99" i="1"/>
  <c r="C99" i="1" s="1"/>
  <c r="Y100" i="1"/>
  <c r="C100" i="1" s="1"/>
  <c r="Y103" i="1"/>
  <c r="C103" i="1" s="1"/>
  <c r="Y108" i="1"/>
  <c r="C108" i="1" s="1"/>
  <c r="Y109" i="1"/>
  <c r="C109" i="1" s="1"/>
  <c r="Y110" i="1"/>
  <c r="C110" i="1" s="1"/>
  <c r="Y111" i="1"/>
  <c r="C111" i="1" s="1"/>
  <c r="Y112" i="1"/>
  <c r="C112" i="1" s="1"/>
  <c r="Y113" i="1"/>
  <c r="C113" i="1" s="1"/>
  <c r="Y114" i="1"/>
  <c r="C114" i="1" s="1"/>
  <c r="Y115" i="1"/>
  <c r="C115" i="1" s="1"/>
  <c r="Y116" i="1"/>
  <c r="C116" i="1" s="1"/>
  <c r="Y333" i="1" l="1"/>
  <c r="Y329" i="1"/>
  <c r="E266" i="1"/>
  <c r="E305" i="1"/>
  <c r="E289" i="1"/>
  <c r="E241" i="1"/>
  <c r="E209" i="1"/>
  <c r="Y301" i="1"/>
  <c r="E257" i="1"/>
  <c r="E49" i="1"/>
  <c r="Y188" i="1"/>
  <c r="Y216" i="1"/>
  <c r="Y319" i="1"/>
  <c r="Y210" i="1"/>
  <c r="E189" i="1"/>
  <c r="Y226" i="1"/>
  <c r="E74" i="1"/>
  <c r="E225" i="1"/>
  <c r="W2" i="1"/>
  <c r="N2" i="1" s="1"/>
  <c r="E26" i="1"/>
  <c r="E317" i="1"/>
  <c r="E237" i="1"/>
  <c r="E285" i="1"/>
  <c r="E333" i="1"/>
  <c r="E301" i="1"/>
  <c r="E269" i="1"/>
  <c r="E253" i="1"/>
  <c r="E205" i="1"/>
  <c r="E106" i="1"/>
  <c r="E58" i="1"/>
  <c r="E314" i="1"/>
  <c r="E90" i="1"/>
  <c r="E221" i="1"/>
  <c r="E138" i="1"/>
  <c r="E282" i="1"/>
  <c r="E298" i="1"/>
  <c r="E42" i="1"/>
  <c r="E330" i="1"/>
  <c r="E250" i="1"/>
  <c r="E122" i="1"/>
  <c r="E321" i="1"/>
  <c r="E193" i="1"/>
  <c r="E145" i="1"/>
  <c r="E177" i="1"/>
  <c r="E161" i="1"/>
  <c r="E10" i="1"/>
  <c r="E340" i="1"/>
  <c r="E324" i="1"/>
  <c r="E308" i="1"/>
  <c r="E292" i="1"/>
  <c r="E276" i="1"/>
  <c r="E260" i="1"/>
  <c r="E244" i="1"/>
  <c r="E228" i="1"/>
  <c r="E212" i="1"/>
  <c r="E196" i="1"/>
  <c r="E180" i="1"/>
  <c r="E164" i="1"/>
  <c r="E20" i="1"/>
  <c r="E265" i="1"/>
  <c r="E249" i="1"/>
  <c r="E334" i="1"/>
  <c r="E318" i="1"/>
  <c r="E302" i="1"/>
  <c r="E286" i="1"/>
  <c r="E270" i="1"/>
  <c r="E254" i="1"/>
  <c r="E238" i="1"/>
  <c r="E206" i="1"/>
  <c r="E190" i="1"/>
  <c r="E174" i="1"/>
  <c r="E158" i="1"/>
  <c r="E142" i="1"/>
  <c r="E126" i="1"/>
  <c r="E110" i="1"/>
  <c r="E14" i="1"/>
  <c r="E173" i="1"/>
  <c r="E157" i="1"/>
  <c r="E141" i="1"/>
  <c r="E125" i="1"/>
  <c r="E109" i="1"/>
  <c r="E77" i="1"/>
  <c r="E132" i="1"/>
  <c r="E116" i="1"/>
  <c r="E84" i="1"/>
  <c r="E52" i="1"/>
  <c r="E234" i="1"/>
  <c r="E218" i="1"/>
  <c r="E202" i="1"/>
  <c r="E186" i="1"/>
  <c r="E170" i="1"/>
  <c r="E154" i="1"/>
  <c r="E148" i="1"/>
  <c r="E100" i="1"/>
  <c r="E68" i="1"/>
  <c r="E331" i="1"/>
  <c r="E315" i="1"/>
  <c r="E299" i="1"/>
  <c r="E283" i="1"/>
  <c r="E155" i="1"/>
  <c r="E123" i="1"/>
  <c r="E107" i="1"/>
  <c r="E91" i="1"/>
  <c r="E75" i="1"/>
  <c r="E59" i="1"/>
  <c r="E43" i="1"/>
  <c r="E27" i="1"/>
  <c r="E11" i="1"/>
  <c r="E328" i="1"/>
  <c r="E312" i="1"/>
  <c r="E296" i="1"/>
  <c r="E264" i="1"/>
  <c r="E168" i="1"/>
  <c r="E152" i="1"/>
  <c r="E120" i="1"/>
  <c r="E104" i="1"/>
  <c r="E88" i="1"/>
  <c r="E72" i="1"/>
  <c r="E40" i="1"/>
  <c r="E24" i="1"/>
  <c r="E8" i="1"/>
  <c r="E267" i="1"/>
  <c r="E251" i="1"/>
  <c r="E235" i="1"/>
  <c r="E219" i="1"/>
  <c r="E203" i="1"/>
  <c r="E187" i="1"/>
  <c r="E171" i="1"/>
  <c r="E139" i="1"/>
  <c r="E338" i="1"/>
  <c r="E322" i="1"/>
  <c r="E306" i="1"/>
  <c r="E290" i="1"/>
  <c r="E274" i="1"/>
  <c r="E258" i="1"/>
  <c r="E242" i="1"/>
  <c r="E226" i="1"/>
  <c r="E210" i="1"/>
  <c r="E194" i="1"/>
  <c r="E162" i="1"/>
  <c r="E146" i="1"/>
  <c r="E130" i="1"/>
  <c r="E114" i="1"/>
  <c r="E332" i="1"/>
  <c r="E316" i="1"/>
  <c r="E300" i="1"/>
  <c r="E284" i="1"/>
  <c r="E268" i="1"/>
  <c r="E236" i="1"/>
  <c r="E220" i="1"/>
  <c r="E204" i="1"/>
  <c r="E156" i="1"/>
  <c r="E140" i="1"/>
  <c r="E124" i="1"/>
  <c r="E76" i="1"/>
  <c r="E60" i="1"/>
  <c r="E44" i="1"/>
  <c r="E28" i="1"/>
  <c r="E342" i="1"/>
  <c r="E326" i="1"/>
  <c r="E310" i="1"/>
  <c r="E294" i="1"/>
  <c r="E278" i="1"/>
  <c r="E262" i="1"/>
  <c r="E246" i="1"/>
  <c r="E230" i="1"/>
  <c r="E214" i="1"/>
  <c r="E198" i="1"/>
  <c r="E182" i="1"/>
  <c r="E166" i="1"/>
  <c r="E150" i="1"/>
  <c r="E134" i="1"/>
  <c r="E118" i="1"/>
  <c r="E102" i="1"/>
  <c r="E86" i="1"/>
  <c r="E70" i="1"/>
  <c r="E54" i="1"/>
  <c r="E38" i="1"/>
  <c r="E22" i="1"/>
  <c r="E6" i="1"/>
  <c r="E327" i="1"/>
  <c r="E311" i="1"/>
  <c r="E295" i="1"/>
  <c r="E279" i="1"/>
  <c r="E263" i="1"/>
  <c r="E247" i="1"/>
  <c r="E231" i="1"/>
  <c r="E215" i="1"/>
  <c r="E199" i="1"/>
  <c r="E183" i="1"/>
  <c r="E167" i="1"/>
  <c r="E151" i="1"/>
  <c r="E135" i="1"/>
  <c r="E119" i="1"/>
  <c r="E103" i="1"/>
  <c r="E87" i="1"/>
  <c r="E71" i="1"/>
  <c r="E55" i="1"/>
  <c r="E39" i="1"/>
  <c r="E23" i="1"/>
  <c r="E7" i="1"/>
  <c r="E160" i="1"/>
  <c r="E341" i="1"/>
  <c r="E245" i="1"/>
  <c r="E165" i="1"/>
  <c r="E149" i="1"/>
  <c r="E133" i="1"/>
  <c r="E117" i="1"/>
  <c r="E85" i="1"/>
  <c r="E69" i="1"/>
  <c r="E53" i="1"/>
  <c r="E37" i="1"/>
  <c r="E21" i="1"/>
  <c r="E223" i="1"/>
  <c r="E79" i="1"/>
  <c r="E129" i="1"/>
  <c r="E113" i="1"/>
  <c r="E248" i="1"/>
  <c r="E232" i="1"/>
  <c r="E184" i="1"/>
  <c r="E336" i="1"/>
  <c r="E320" i="1"/>
  <c r="E304" i="1"/>
  <c r="E288" i="1"/>
  <c r="E272" i="1"/>
  <c r="E256" i="1"/>
  <c r="E240" i="1"/>
  <c r="E224" i="1"/>
  <c r="E208" i="1"/>
  <c r="E192" i="1"/>
  <c r="E176" i="1"/>
  <c r="E144" i="1"/>
  <c r="E128" i="1"/>
  <c r="E112" i="1"/>
  <c r="E80" i="1"/>
  <c r="E48" i="1"/>
  <c r="E222" i="1"/>
  <c r="E78" i="1"/>
  <c r="E159" i="1"/>
  <c r="E335" i="1"/>
  <c r="E319" i="1"/>
  <c r="E303" i="1"/>
  <c r="E287" i="1"/>
  <c r="E271" i="1"/>
  <c r="E255" i="1"/>
  <c r="E239" i="1"/>
  <c r="E207" i="1"/>
  <c r="E191" i="1"/>
  <c r="E175" i="1"/>
  <c r="E143" i="1"/>
  <c r="E127" i="1"/>
  <c r="E111" i="1"/>
  <c r="E15" i="1"/>
  <c r="E13" i="1"/>
  <c r="E63" i="1"/>
  <c r="E62" i="1"/>
  <c r="E201" i="1"/>
  <c r="E325" i="1"/>
  <c r="E309" i="1"/>
  <c r="E293" i="1"/>
  <c r="E277" i="1"/>
  <c r="E261" i="1"/>
  <c r="E229" i="1"/>
  <c r="E213" i="1"/>
  <c r="E197" i="1"/>
  <c r="E181" i="1"/>
  <c r="E101" i="1"/>
  <c r="E95" i="1"/>
  <c r="E64" i="1"/>
  <c r="E94" i="1"/>
  <c r="E93" i="1"/>
  <c r="E3" i="1"/>
  <c r="E281" i="1"/>
  <c r="E137" i="1"/>
  <c r="E61" i="1"/>
  <c r="E36" i="1"/>
  <c r="E81" i="1"/>
  <c r="E46" i="1"/>
  <c r="E97" i="1"/>
  <c r="E96" i="1"/>
  <c r="E65" i="1"/>
  <c r="E217" i="1"/>
  <c r="E57" i="1"/>
  <c r="E339" i="1"/>
  <c r="E323" i="1"/>
  <c r="E307" i="1"/>
  <c r="E291" i="1"/>
  <c r="E275" i="1"/>
  <c r="E259" i="1"/>
  <c r="E243" i="1"/>
  <c r="E227" i="1"/>
  <c r="E211" i="1"/>
  <c r="E195" i="1"/>
  <c r="E179" i="1"/>
  <c r="E163" i="1"/>
  <c r="E147" i="1"/>
  <c r="E131" i="1"/>
  <c r="E115" i="1"/>
  <c r="E99" i="1"/>
  <c r="E83" i="1"/>
  <c r="E67" i="1"/>
  <c r="E51" i="1"/>
  <c r="E35" i="1"/>
  <c r="E19" i="1"/>
  <c r="E45" i="1"/>
  <c r="E25" i="1"/>
  <c r="E280" i="1"/>
  <c r="E313" i="1"/>
  <c r="E136" i="1"/>
  <c r="E252" i="1"/>
  <c r="E233" i="1"/>
  <c r="E56" i="1"/>
  <c r="E172" i="1"/>
  <c r="E153" i="1"/>
  <c r="E33" i="1"/>
  <c r="E12" i="1"/>
  <c r="E329" i="1"/>
  <c r="E92" i="1"/>
  <c r="E73" i="1"/>
  <c r="E32" i="1"/>
  <c r="E31" i="1"/>
  <c r="E200" i="1"/>
  <c r="E121" i="1"/>
  <c r="E297" i="1"/>
  <c r="E178" i="1"/>
  <c r="E185" i="1"/>
  <c r="E105" i="1"/>
  <c r="E216" i="1"/>
  <c r="E41" i="1"/>
  <c r="E188" i="1"/>
  <c r="E169" i="1"/>
  <c r="E30" i="1"/>
  <c r="E9" i="1"/>
  <c r="E108" i="1"/>
  <c r="E89" i="1"/>
  <c r="E29" i="1"/>
  <c r="E4" i="1"/>
  <c r="E47" i="1"/>
  <c r="E17" i="1"/>
  <c r="E16" i="1"/>
  <c r="E5" i="1"/>
  <c r="E98" i="1"/>
  <c r="E82" i="1"/>
  <c r="E66" i="1"/>
  <c r="E50" i="1"/>
  <c r="E34" i="1"/>
  <c r="E18" i="1"/>
  <c r="E2" i="1"/>
  <c r="W233" i="1"/>
  <c r="N233" i="1" s="1"/>
  <c r="W121" i="1"/>
  <c r="N121" i="1" s="1"/>
  <c r="W232" i="1"/>
  <c r="N232" i="1" s="1"/>
  <c r="W320" i="1"/>
  <c r="N320" i="1" s="1"/>
  <c r="Y185" i="1"/>
  <c r="W282" i="1"/>
  <c r="N282" i="1" s="1"/>
  <c r="W74" i="1"/>
  <c r="N74" i="1" s="1"/>
  <c r="W42" i="1"/>
  <c r="N42" i="1" s="1"/>
  <c r="W26" i="1"/>
  <c r="N26" i="1" s="1"/>
  <c r="W338" i="1"/>
  <c r="N338" i="1" s="1"/>
  <c r="W322" i="1"/>
  <c r="N322" i="1" s="1"/>
  <c r="W306" i="1"/>
  <c r="N306" i="1" s="1"/>
  <c r="W290" i="1"/>
  <c r="N290" i="1" s="1"/>
  <c r="W274" i="1"/>
  <c r="N274" i="1" s="1"/>
  <c r="W258" i="1"/>
  <c r="N258" i="1" s="1"/>
  <c r="W242" i="1"/>
  <c r="N242" i="1" s="1"/>
  <c r="W226" i="1"/>
  <c r="N226" i="1" s="1"/>
  <c r="W210" i="1"/>
  <c r="N210" i="1" s="1"/>
  <c r="W194" i="1"/>
  <c r="N194" i="1" s="1"/>
  <c r="W178" i="1"/>
  <c r="N178" i="1" s="1"/>
  <c r="W162" i="1"/>
  <c r="N162" i="1" s="1"/>
  <c r="W146" i="1"/>
  <c r="N146" i="1" s="1"/>
  <c r="W130" i="1"/>
  <c r="N130" i="1" s="1"/>
  <c r="W114" i="1"/>
  <c r="N114" i="1" s="1"/>
  <c r="W98" i="1"/>
  <c r="N98" i="1" s="1"/>
  <c r="W82" i="1"/>
  <c r="N82" i="1" s="1"/>
  <c r="W66" i="1"/>
  <c r="N66" i="1" s="1"/>
  <c r="W50" i="1"/>
  <c r="N50" i="1" s="1"/>
  <c r="W34" i="1"/>
  <c r="N34" i="1" s="1"/>
  <c r="W18" i="1"/>
  <c r="N18" i="1" s="1"/>
  <c r="W329" i="1"/>
  <c r="N329" i="1" s="1"/>
  <c r="W313" i="1"/>
  <c r="N313" i="1" s="1"/>
  <c r="W297" i="1"/>
  <c r="N297" i="1" s="1"/>
  <c r="W281" i="1"/>
  <c r="N281" i="1" s="1"/>
  <c r="W265" i="1"/>
  <c r="N265" i="1" s="1"/>
  <c r="W137" i="1"/>
  <c r="N137" i="1" s="1"/>
  <c r="W81" i="1"/>
  <c r="N81" i="1" s="1"/>
  <c r="W65" i="1"/>
  <c r="N65" i="1" s="1"/>
  <c r="W336" i="1"/>
  <c r="N336" i="1" s="1"/>
  <c r="W304" i="1"/>
  <c r="N304" i="1" s="1"/>
  <c r="W288" i="1"/>
  <c r="N288" i="1" s="1"/>
  <c r="W272" i="1"/>
  <c r="N272" i="1" s="1"/>
  <c r="W256" i="1"/>
  <c r="N256" i="1" s="1"/>
  <c r="W240" i="1"/>
  <c r="N240" i="1" s="1"/>
  <c r="W208" i="1"/>
  <c r="N208" i="1" s="1"/>
  <c r="W192" i="1"/>
  <c r="N192" i="1" s="1"/>
  <c r="W176" i="1"/>
  <c r="N176" i="1" s="1"/>
  <c r="W160" i="1"/>
  <c r="N160" i="1" s="1"/>
  <c r="W144" i="1"/>
  <c r="N144" i="1" s="1"/>
  <c r="W128" i="1"/>
  <c r="N128" i="1" s="1"/>
  <c r="W112" i="1"/>
  <c r="N112" i="1" s="1"/>
  <c r="W64" i="1"/>
  <c r="N64" i="1" s="1"/>
  <c r="W32" i="1"/>
  <c r="N32" i="1" s="1"/>
  <c r="W16" i="1"/>
  <c r="N16" i="1" s="1"/>
  <c r="W120" i="1"/>
  <c r="N120" i="1" s="1"/>
  <c r="W142" i="1"/>
  <c r="N142" i="1" s="1"/>
  <c r="W110" i="1"/>
  <c r="N110" i="1" s="1"/>
  <c r="W326" i="1"/>
  <c r="N326" i="1" s="1"/>
  <c r="W294" i="1"/>
  <c r="N294" i="1" s="1"/>
  <c r="W278" i="1"/>
  <c r="N278" i="1" s="1"/>
  <c r="W246" i="1"/>
  <c r="N246" i="1" s="1"/>
  <c r="W230" i="1"/>
  <c r="N230" i="1" s="1"/>
  <c r="W182" i="1"/>
  <c r="N182" i="1" s="1"/>
  <c r="W150" i="1"/>
  <c r="N150" i="1" s="1"/>
  <c r="W118" i="1"/>
  <c r="N118" i="1" s="1"/>
  <c r="W86" i="1"/>
  <c r="N86" i="1" s="1"/>
  <c r="W70" i="1"/>
  <c r="N70" i="1" s="1"/>
  <c r="W38" i="1"/>
  <c r="N38" i="1" s="1"/>
  <c r="W22" i="1"/>
  <c r="N22" i="1" s="1"/>
  <c r="W6" i="1"/>
  <c r="N6" i="1" s="1"/>
  <c r="W333" i="1"/>
  <c r="N333" i="1" s="1"/>
  <c r="W301" i="1"/>
  <c r="N301" i="1" s="1"/>
  <c r="W189" i="1"/>
  <c r="N189" i="1" s="1"/>
  <c r="W157" i="1"/>
  <c r="N157" i="1" s="1"/>
  <c r="W45" i="1"/>
  <c r="N45" i="1" s="1"/>
  <c r="W13" i="1"/>
  <c r="N13" i="1" s="1"/>
  <c r="W325" i="1"/>
  <c r="N325" i="1" s="1"/>
  <c r="W309" i="1"/>
  <c r="N309" i="1" s="1"/>
  <c r="W277" i="1"/>
  <c r="N277" i="1" s="1"/>
  <c r="W245" i="1"/>
  <c r="N245" i="1" s="1"/>
  <c r="W213" i="1"/>
  <c r="N213" i="1" s="1"/>
  <c r="W197" i="1"/>
  <c r="N197" i="1" s="1"/>
  <c r="W165" i="1"/>
  <c r="N165" i="1" s="1"/>
  <c r="W133" i="1"/>
  <c r="N133" i="1" s="1"/>
  <c r="W101" i="1"/>
  <c r="N101" i="1" s="1"/>
  <c r="W69" i="1"/>
  <c r="N69" i="1" s="1"/>
  <c r="W53" i="1"/>
  <c r="N53" i="1" s="1"/>
  <c r="W37" i="1"/>
  <c r="N37" i="1" s="1"/>
  <c r="W21" i="1"/>
  <c r="N21" i="1" s="1"/>
  <c r="W156" i="1"/>
  <c r="N156" i="1" s="1"/>
  <c r="W92" i="1"/>
  <c r="N92" i="1" s="1"/>
  <c r="W12" i="1"/>
  <c r="N12" i="1" s="1"/>
  <c r="W340" i="1"/>
  <c r="N340" i="1" s="1"/>
  <c r="W324" i="1"/>
  <c r="N324" i="1" s="1"/>
  <c r="W308" i="1"/>
  <c r="N308" i="1" s="1"/>
  <c r="W292" i="1"/>
  <c r="N292" i="1" s="1"/>
  <c r="W276" i="1"/>
  <c r="N276" i="1" s="1"/>
  <c r="W260" i="1"/>
  <c r="N260" i="1" s="1"/>
  <c r="W244" i="1"/>
  <c r="N244" i="1" s="1"/>
  <c r="W228" i="1"/>
  <c r="N228" i="1" s="1"/>
  <c r="W212" i="1"/>
  <c r="N212" i="1" s="1"/>
  <c r="W196" i="1"/>
  <c r="N196" i="1" s="1"/>
  <c r="W180" i="1"/>
  <c r="N180" i="1" s="1"/>
  <c r="W164" i="1"/>
  <c r="N164" i="1" s="1"/>
  <c r="W148" i="1"/>
  <c r="N148" i="1" s="1"/>
  <c r="W132" i="1"/>
  <c r="N132" i="1" s="1"/>
  <c r="W116" i="1"/>
  <c r="N116" i="1" s="1"/>
  <c r="W100" i="1"/>
  <c r="N100" i="1" s="1"/>
  <c r="W84" i="1"/>
  <c r="N84" i="1" s="1"/>
  <c r="W68" i="1"/>
  <c r="N68" i="1" s="1"/>
  <c r="W52" i="1"/>
  <c r="N52" i="1" s="1"/>
  <c r="W36" i="1"/>
  <c r="N36" i="1" s="1"/>
  <c r="W20" i="1"/>
  <c r="N20" i="1" s="1"/>
  <c r="W184" i="1"/>
  <c r="N184" i="1" s="1"/>
  <c r="W3" i="1"/>
  <c r="N3" i="1" s="1"/>
  <c r="W334" i="1"/>
  <c r="N334" i="1" s="1"/>
  <c r="W238" i="1"/>
  <c r="N238" i="1" s="1"/>
  <c r="W158" i="1"/>
  <c r="N158" i="1" s="1"/>
  <c r="W342" i="1"/>
  <c r="N342" i="1" s="1"/>
  <c r="W310" i="1"/>
  <c r="N310" i="1" s="1"/>
  <c r="W262" i="1"/>
  <c r="N262" i="1" s="1"/>
  <c r="W214" i="1"/>
  <c r="N214" i="1" s="1"/>
  <c r="W198" i="1"/>
  <c r="N198" i="1" s="1"/>
  <c r="W166" i="1"/>
  <c r="N166" i="1" s="1"/>
  <c r="W134" i="1"/>
  <c r="N134" i="1" s="1"/>
  <c r="W102" i="1"/>
  <c r="N102" i="1" s="1"/>
  <c r="W54" i="1"/>
  <c r="N54" i="1" s="1"/>
  <c r="W221" i="1"/>
  <c r="N221" i="1" s="1"/>
  <c r="W341" i="1"/>
  <c r="N341" i="1" s="1"/>
  <c r="W293" i="1"/>
  <c r="N293" i="1" s="1"/>
  <c r="W261" i="1"/>
  <c r="N261" i="1" s="1"/>
  <c r="W229" i="1"/>
  <c r="N229" i="1" s="1"/>
  <c r="W181" i="1"/>
  <c r="N181" i="1" s="1"/>
  <c r="W149" i="1"/>
  <c r="N149" i="1" s="1"/>
  <c r="W117" i="1"/>
  <c r="N117" i="1" s="1"/>
  <c r="W85" i="1"/>
  <c r="N85" i="1" s="1"/>
  <c r="W315" i="1"/>
  <c r="N315" i="1" s="1"/>
  <c r="W283" i="1"/>
  <c r="N283" i="1" s="1"/>
  <c r="W155" i="1"/>
  <c r="N155" i="1" s="1"/>
  <c r="W43" i="1"/>
  <c r="N43" i="1" s="1"/>
  <c r="W339" i="1"/>
  <c r="N339" i="1" s="1"/>
  <c r="W323" i="1"/>
  <c r="N323" i="1" s="1"/>
  <c r="W307" i="1"/>
  <c r="N307" i="1" s="1"/>
  <c r="W291" i="1"/>
  <c r="N291" i="1" s="1"/>
  <c r="W275" i="1"/>
  <c r="N275" i="1" s="1"/>
  <c r="W259" i="1"/>
  <c r="N259" i="1" s="1"/>
  <c r="W243" i="1"/>
  <c r="N243" i="1" s="1"/>
  <c r="W227" i="1"/>
  <c r="N227" i="1" s="1"/>
  <c r="W211" i="1"/>
  <c r="N211" i="1" s="1"/>
  <c r="W195" i="1"/>
  <c r="N195" i="1" s="1"/>
  <c r="W179" i="1"/>
  <c r="N179" i="1" s="1"/>
  <c r="W163" i="1"/>
  <c r="N163" i="1" s="1"/>
  <c r="W147" i="1"/>
  <c r="N147" i="1" s="1"/>
  <c r="W131" i="1"/>
  <c r="N131" i="1" s="1"/>
  <c r="W115" i="1"/>
  <c r="N115" i="1" s="1"/>
  <c r="W99" i="1"/>
  <c r="N99" i="1" s="1"/>
  <c r="W83" i="1"/>
  <c r="W67" i="1"/>
  <c r="N67" i="1" s="1"/>
  <c r="W51" i="1"/>
  <c r="N51" i="1" s="1"/>
  <c r="W35" i="1"/>
  <c r="N35" i="1" s="1"/>
  <c r="W19" i="1"/>
  <c r="N19" i="1" s="1"/>
  <c r="W284" i="1"/>
  <c r="N284" i="1" s="1"/>
  <c r="W188" i="1"/>
  <c r="N188" i="1" s="1"/>
  <c r="W268" i="1"/>
  <c r="N268" i="1" s="1"/>
  <c r="W267" i="1"/>
  <c r="N267" i="1" s="1"/>
  <c r="W59" i="1"/>
  <c r="N59" i="1" s="1"/>
  <c r="W280" i="1"/>
  <c r="N280" i="1" s="1"/>
  <c r="W248" i="1"/>
  <c r="N248" i="1" s="1"/>
  <c r="W5" i="1"/>
  <c r="N5" i="1" s="1"/>
  <c r="W327" i="1"/>
  <c r="N327" i="1" s="1"/>
  <c r="W311" i="1"/>
  <c r="N311" i="1" s="1"/>
  <c r="W295" i="1"/>
  <c r="N295" i="1" s="1"/>
  <c r="W279" i="1"/>
  <c r="N279" i="1" s="1"/>
  <c r="W263" i="1"/>
  <c r="N263" i="1" s="1"/>
  <c r="W247" i="1"/>
  <c r="N247" i="1" s="1"/>
  <c r="W231" i="1"/>
  <c r="N231" i="1" s="1"/>
  <c r="W215" i="1"/>
  <c r="W199" i="1"/>
  <c r="N199" i="1" s="1"/>
  <c r="W183" i="1"/>
  <c r="N183" i="1" s="1"/>
  <c r="W167" i="1"/>
  <c r="N167" i="1" s="1"/>
  <c r="W151" i="1"/>
  <c r="N151" i="1" s="1"/>
  <c r="W135" i="1"/>
  <c r="N135" i="1" s="1"/>
  <c r="W119" i="1"/>
  <c r="N119" i="1" s="1"/>
  <c r="W103" i="1"/>
  <c r="N103" i="1" s="1"/>
  <c r="W87" i="1"/>
  <c r="N87" i="1" s="1"/>
  <c r="W71" i="1"/>
  <c r="N71" i="1" s="1"/>
  <c r="W55" i="1"/>
  <c r="N55" i="1" s="1"/>
  <c r="W39" i="1"/>
  <c r="N39" i="1" s="1"/>
  <c r="W23" i="1"/>
  <c r="N23" i="1" s="1"/>
  <c r="W7" i="1"/>
  <c r="N7" i="1" s="1"/>
  <c r="W220" i="1"/>
  <c r="N220" i="1" s="1"/>
  <c r="W44" i="1"/>
  <c r="N44" i="1" s="1"/>
  <c r="W266" i="1"/>
  <c r="N266" i="1" s="1"/>
  <c r="W187" i="1"/>
  <c r="N187" i="1" s="1"/>
  <c r="W185" i="1"/>
  <c r="N185" i="1" s="1"/>
  <c r="W122" i="1"/>
  <c r="N122" i="1" s="1"/>
  <c r="W302" i="1"/>
  <c r="N302" i="1" s="1"/>
  <c r="W286" i="1"/>
  <c r="N286" i="1" s="1"/>
  <c r="W190" i="1"/>
  <c r="N190" i="1" s="1"/>
  <c r="W141" i="1"/>
  <c r="N141" i="1" s="1"/>
  <c r="W331" i="1"/>
  <c r="N331" i="1" s="1"/>
  <c r="W75" i="1"/>
  <c r="N75" i="1" s="1"/>
  <c r="W234" i="1"/>
  <c r="N234" i="1" s="1"/>
  <c r="W330" i="1"/>
  <c r="N330" i="1" s="1"/>
  <c r="W169" i="1"/>
  <c r="N169" i="1" s="1"/>
  <c r="W48" i="1"/>
  <c r="N48" i="1" s="1"/>
  <c r="W41" i="1"/>
  <c r="N41" i="1" s="1"/>
  <c r="W25" i="1"/>
  <c r="N25" i="1" s="1"/>
  <c r="W9" i="1"/>
  <c r="N9" i="1" s="1"/>
  <c r="W337" i="1"/>
  <c r="N337" i="1" s="1"/>
  <c r="W321" i="1"/>
  <c r="N321" i="1" s="1"/>
  <c r="W305" i="1"/>
  <c r="N305" i="1" s="1"/>
  <c r="W289" i="1"/>
  <c r="N289" i="1" s="1"/>
  <c r="W273" i="1"/>
  <c r="N273" i="1" s="1"/>
  <c r="W257" i="1"/>
  <c r="N257" i="1" s="1"/>
  <c r="W241" i="1"/>
  <c r="N241" i="1" s="1"/>
  <c r="W225" i="1"/>
  <c r="N225" i="1" s="1"/>
  <c r="W209" i="1"/>
  <c r="N209" i="1" s="1"/>
  <c r="W193" i="1"/>
  <c r="N193" i="1" s="1"/>
  <c r="W177" i="1"/>
  <c r="N177" i="1" s="1"/>
  <c r="W161" i="1"/>
  <c r="N161" i="1" s="1"/>
  <c r="W145" i="1"/>
  <c r="N145" i="1" s="1"/>
  <c r="W129" i="1"/>
  <c r="N129" i="1" s="1"/>
  <c r="W113" i="1"/>
  <c r="N113" i="1" s="1"/>
  <c r="W97" i="1"/>
  <c r="N97" i="1" s="1"/>
  <c r="W49" i="1"/>
  <c r="N49" i="1" s="1"/>
  <c r="W33" i="1"/>
  <c r="N33" i="1" s="1"/>
  <c r="W17" i="1"/>
  <c r="N17" i="1" s="1"/>
  <c r="W80" i="1"/>
  <c r="N80" i="1" s="1"/>
  <c r="W312" i="1"/>
  <c r="N312" i="1" s="1"/>
  <c r="W264" i="1"/>
  <c r="N264" i="1" s="1"/>
  <c r="W216" i="1"/>
  <c r="N216" i="1" s="1"/>
  <c r="W136" i="1"/>
  <c r="N136" i="1" s="1"/>
  <c r="W88" i="1"/>
  <c r="N88" i="1" s="1"/>
  <c r="W24" i="1"/>
  <c r="N24" i="1" s="1"/>
  <c r="W224" i="1"/>
  <c r="N224" i="1" s="1"/>
  <c r="W96" i="1"/>
  <c r="N96" i="1" s="1"/>
  <c r="W335" i="1"/>
  <c r="N335" i="1" s="1"/>
  <c r="W319" i="1"/>
  <c r="N319" i="1" s="1"/>
  <c r="W303" i="1"/>
  <c r="N303" i="1" s="1"/>
  <c r="W287" i="1"/>
  <c r="N287" i="1" s="1"/>
  <c r="W271" i="1"/>
  <c r="N271" i="1" s="1"/>
  <c r="W255" i="1"/>
  <c r="N255" i="1" s="1"/>
  <c r="W239" i="1"/>
  <c r="N239" i="1" s="1"/>
  <c r="W223" i="1"/>
  <c r="N223" i="1" s="1"/>
  <c r="W207" i="1"/>
  <c r="N207" i="1" s="1"/>
  <c r="W191" i="1"/>
  <c r="N191" i="1" s="1"/>
  <c r="W175" i="1"/>
  <c r="N175" i="1" s="1"/>
  <c r="W159" i="1"/>
  <c r="N159" i="1" s="1"/>
  <c r="W143" i="1"/>
  <c r="N143" i="1" s="1"/>
  <c r="W127" i="1"/>
  <c r="N127" i="1" s="1"/>
  <c r="W111" i="1"/>
  <c r="N111" i="1" s="1"/>
  <c r="W95" i="1"/>
  <c r="N95" i="1" s="1"/>
  <c r="W79" i="1"/>
  <c r="N79" i="1" s="1"/>
  <c r="W63" i="1"/>
  <c r="N63" i="1" s="1"/>
  <c r="W47" i="1"/>
  <c r="N47" i="1" s="1"/>
  <c r="W31" i="1"/>
  <c r="N31" i="1" s="1"/>
  <c r="W15" i="1"/>
  <c r="N15" i="1" s="1"/>
  <c r="W62" i="1"/>
  <c r="N62" i="1" s="1"/>
  <c r="W46" i="1"/>
  <c r="N46" i="1" s="1"/>
  <c r="W14" i="1"/>
  <c r="N14" i="1" s="1"/>
  <c r="Y220" i="1"/>
  <c r="Y289" i="1"/>
  <c r="W317" i="1"/>
  <c r="N317" i="1" s="1"/>
  <c r="W203" i="1"/>
  <c r="N203" i="1" s="1"/>
  <c r="W153" i="1"/>
  <c r="N153" i="1" s="1"/>
  <c r="W60" i="1"/>
  <c r="N60" i="1" s="1"/>
  <c r="W152" i="1"/>
  <c r="N152" i="1" s="1"/>
  <c r="W91" i="1"/>
  <c r="N91" i="1" s="1"/>
  <c r="W316" i="1"/>
  <c r="N316" i="1" s="1"/>
  <c r="W76" i="1"/>
  <c r="N76" i="1" s="1"/>
  <c r="W236" i="1"/>
  <c r="N236" i="1" s="1"/>
  <c r="W235" i="1"/>
  <c r="N235" i="1" s="1"/>
  <c r="W204" i="1"/>
  <c r="N204" i="1" s="1"/>
  <c r="W140" i="1"/>
  <c r="N140" i="1" s="1"/>
  <c r="W285" i="1"/>
  <c r="N285" i="1" s="1"/>
  <c r="W139" i="1"/>
  <c r="N139" i="1" s="1"/>
  <c r="W10" i="1"/>
  <c r="N10" i="1" s="1"/>
  <c r="W299" i="1"/>
  <c r="N299" i="1" s="1"/>
  <c r="W202" i="1"/>
  <c r="N202" i="1" s="1"/>
  <c r="W138" i="1"/>
  <c r="N138" i="1" s="1"/>
  <c r="W298" i="1"/>
  <c r="N298" i="1" s="1"/>
  <c r="W154" i="1"/>
  <c r="N154" i="1" s="1"/>
  <c r="W61" i="1"/>
  <c r="N61" i="1" s="1"/>
  <c r="W269" i="1"/>
  <c r="N269" i="1" s="1"/>
  <c r="W172" i="1"/>
  <c r="N172" i="1" s="1"/>
  <c r="W11" i="1"/>
  <c r="N11" i="1" s="1"/>
  <c r="W300" i="1"/>
  <c r="N300" i="1" s="1"/>
  <c r="W171" i="1"/>
  <c r="N171" i="1" s="1"/>
  <c r="W105" i="1"/>
  <c r="N105" i="1" s="1"/>
  <c r="W170" i="1"/>
  <c r="N170" i="1" s="1"/>
  <c r="W104" i="1"/>
  <c r="N104" i="1" s="1"/>
  <c r="W8" i="1"/>
  <c r="N8" i="1" s="1"/>
  <c r="W218" i="1"/>
  <c r="N218" i="1" s="1"/>
  <c r="W106" i="1"/>
  <c r="N106" i="1" s="1"/>
  <c r="W93" i="1"/>
  <c r="N93" i="1" s="1"/>
  <c r="W217" i="1"/>
  <c r="N217" i="1" s="1"/>
  <c r="W57" i="1"/>
  <c r="N57" i="1" s="1"/>
  <c r="W29" i="1"/>
  <c r="N29" i="1" s="1"/>
  <c r="W253" i="1"/>
  <c r="N253" i="1" s="1"/>
  <c r="W56" i="1"/>
  <c r="N56" i="1" s="1"/>
  <c r="W28" i="1"/>
  <c r="N28" i="1" s="1"/>
  <c r="W318" i="1"/>
  <c r="N318" i="1" s="1"/>
  <c r="W270" i="1"/>
  <c r="N270" i="1" s="1"/>
  <c r="W254" i="1"/>
  <c r="N254" i="1" s="1"/>
  <c r="W222" i="1"/>
  <c r="N222" i="1" s="1"/>
  <c r="W206" i="1"/>
  <c r="N206" i="1" s="1"/>
  <c r="W174" i="1"/>
  <c r="N174" i="1" s="1"/>
  <c r="W126" i="1"/>
  <c r="N126" i="1" s="1"/>
  <c r="W94" i="1"/>
  <c r="N94" i="1" s="1"/>
  <c r="W78" i="1"/>
  <c r="N78" i="1" s="1"/>
  <c r="W30" i="1"/>
  <c r="N30" i="1" s="1"/>
  <c r="W252" i="1"/>
  <c r="N252" i="1" s="1"/>
  <c r="W237" i="1"/>
  <c r="N237" i="1" s="1"/>
  <c r="W205" i="1"/>
  <c r="N205" i="1" s="1"/>
  <c r="W173" i="1"/>
  <c r="N173" i="1" s="1"/>
  <c r="W109" i="1"/>
  <c r="N109" i="1" s="1"/>
  <c r="W77" i="1"/>
  <c r="N77" i="1" s="1"/>
  <c r="W251" i="1"/>
  <c r="N251" i="1" s="1"/>
  <c r="W125" i="1"/>
  <c r="N125" i="1" s="1"/>
  <c r="W73" i="1"/>
  <c r="N73" i="1" s="1"/>
  <c r="W250" i="1"/>
  <c r="N250" i="1" s="1"/>
  <c r="W124" i="1"/>
  <c r="N124" i="1" s="1"/>
  <c r="W72" i="1"/>
  <c r="N72" i="1" s="1"/>
  <c r="W27" i="1"/>
  <c r="N27" i="1" s="1"/>
  <c r="W249" i="1"/>
  <c r="N249" i="1" s="1"/>
  <c r="W123" i="1"/>
  <c r="N123" i="1" s="1"/>
  <c r="W332" i="1"/>
  <c r="N332" i="1" s="1"/>
  <c r="W201" i="1"/>
  <c r="N201" i="1" s="1"/>
  <c r="W90" i="1"/>
  <c r="N90" i="1" s="1"/>
  <c r="Y315" i="1"/>
  <c r="W200" i="1"/>
  <c r="N200" i="1" s="1"/>
  <c r="W89" i="1"/>
  <c r="N89" i="1" s="1"/>
  <c r="Y314" i="1"/>
  <c r="W219" i="1"/>
  <c r="N219" i="1" s="1"/>
  <c r="W314" i="1"/>
  <c r="N314" i="1" s="1"/>
  <c r="W186" i="1"/>
  <c r="N186" i="1" s="1"/>
  <c r="W58" i="1"/>
  <c r="N58" i="1" s="1"/>
  <c r="W108" i="1"/>
  <c r="N108" i="1" s="1"/>
  <c r="W4" i="1"/>
  <c r="N4" i="1" s="1"/>
  <c r="W328" i="1"/>
  <c r="N328" i="1" s="1"/>
  <c r="W107" i="1"/>
  <c r="N107" i="1" s="1"/>
  <c r="W296" i="1"/>
  <c r="N296" i="1" s="1"/>
  <c r="W168" i="1"/>
  <c r="N168" i="1" s="1"/>
  <c r="W40" i="1"/>
  <c r="N40" i="1" s="1"/>
  <c r="Y288" i="1"/>
  <c r="Y261" i="1"/>
  <c r="Y186" i="1"/>
  <c r="Y316" i="1"/>
  <c r="Y258" i="1"/>
  <c r="Y187" i="1"/>
  <c r="Y279" i="1"/>
  <c r="Y337" i="1"/>
  <c r="Y233" i="1"/>
  <c r="Y313" i="1"/>
  <c r="Y212" i="1"/>
  <c r="Y335" i="1"/>
  <c r="Y290" i="1"/>
  <c r="Y248" i="1"/>
  <c r="Y209" i="1"/>
  <c r="Y175" i="1"/>
  <c r="Y272" i="1"/>
  <c r="Y196" i="1"/>
  <c r="Y171" i="1"/>
  <c r="Y262" i="1"/>
  <c r="Y245" i="1"/>
  <c r="Y341" i="1"/>
  <c r="Y324" i="1"/>
  <c r="Y300" i="1"/>
  <c r="Y146" i="1"/>
  <c r="Y232" i="1"/>
  <c r="Y240" i="1"/>
  <c r="Y249" i="1"/>
  <c r="Y257" i="1"/>
  <c r="Y266" i="1"/>
  <c r="Y284" i="1"/>
  <c r="Y293" i="1"/>
  <c r="Y328" i="1"/>
  <c r="Y336" i="1"/>
  <c r="Y147" i="1"/>
  <c r="Y172" i="1"/>
  <c r="Y181" i="1"/>
  <c r="Y189" i="1"/>
  <c r="Y207" i="1"/>
  <c r="Y267" i="1"/>
  <c r="Y276" i="1"/>
  <c r="Y285" i="1"/>
  <c r="Y302" i="1"/>
  <c r="Y311" i="1"/>
  <c r="Y156" i="1"/>
  <c r="Y182" i="1"/>
  <c r="Y190" i="1"/>
  <c r="Y208" i="1"/>
  <c r="Y217" i="1"/>
  <c r="Y259" i="1"/>
  <c r="Y268" i="1"/>
  <c r="Y277" i="1"/>
  <c r="Y286" i="1"/>
  <c r="Y303" i="1"/>
  <c r="Y174" i="1"/>
  <c r="Y234" i="1"/>
  <c r="Y242" i="1"/>
  <c r="Y157" i="1"/>
  <c r="Y177" i="1"/>
  <c r="Y211" i="1"/>
  <c r="Y252" i="1"/>
  <c r="Y263" i="1"/>
  <c r="Y274" i="1"/>
  <c r="Y287" i="1"/>
  <c r="Y297" i="1"/>
  <c r="Y338" i="1"/>
  <c r="Y221" i="1"/>
  <c r="Y230" i="1"/>
  <c r="Y241" i="1"/>
  <c r="Y275" i="1"/>
  <c r="Y298" i="1"/>
  <c r="Y308" i="1"/>
  <c r="Y318" i="1"/>
  <c r="Y327" i="1"/>
  <c r="Y339" i="1"/>
  <c r="Y179" i="1"/>
  <c r="Y231" i="1"/>
  <c r="Y278" i="1"/>
  <c r="Y299" i="1"/>
  <c r="Y309" i="1"/>
  <c r="Y330" i="1"/>
  <c r="Y340" i="1"/>
  <c r="Y152" i="1"/>
  <c r="Y213" i="1"/>
  <c r="Y236" i="1"/>
  <c r="Y142" i="1"/>
  <c r="Y176" i="1"/>
  <c r="Y280" i="1"/>
  <c r="Y292" i="1"/>
  <c r="Y305" i="1"/>
  <c r="Y317" i="1"/>
  <c r="Y342" i="1"/>
  <c r="Y214" i="1"/>
  <c r="Y237" i="1"/>
  <c r="Y265" i="1"/>
  <c r="Y158" i="1"/>
  <c r="Y239" i="1"/>
  <c r="Y296" i="1"/>
  <c r="Y310" i="1"/>
  <c r="Y321" i="1"/>
  <c r="Y145" i="1"/>
  <c r="Y183" i="1"/>
  <c r="Y218" i="1"/>
  <c r="Y243" i="1"/>
  <c r="Y270" i="1"/>
  <c r="Y283" i="1"/>
  <c r="Y244" i="1"/>
  <c r="Y322" i="1"/>
  <c r="Y334" i="1"/>
  <c r="Y271" i="1"/>
  <c r="Y323" i="1"/>
  <c r="Y143" i="1"/>
  <c r="Y178" i="1"/>
  <c r="Y281" i="1"/>
  <c r="Y294" i="1"/>
  <c r="Y306" i="1"/>
  <c r="Y238" i="1"/>
  <c r="Y253" i="1"/>
  <c r="Y295" i="1"/>
  <c r="Y307" i="1"/>
  <c r="Y144" i="1"/>
  <c r="Y180" i="1"/>
  <c r="Y269" i="1"/>
  <c r="Y282" i="1"/>
  <c r="Y320" i="1"/>
  <c r="Y184" i="1"/>
  <c r="Y219" i="1"/>
  <c r="Y229" i="1"/>
  <c r="Y256" i="1"/>
  <c r="Y273" i="1"/>
  <c r="Y247" i="1"/>
  <c r="Y326" i="1"/>
  <c r="Y304" i="1"/>
  <c r="Y206" i="1"/>
  <c r="Y173" i="1"/>
  <c r="Y246" i="1"/>
  <c r="Y141" i="1"/>
  <c r="Y325" i="1"/>
  <c r="Y291" i="1"/>
  <c r="Y260" i="1"/>
  <c r="Y61" i="1"/>
  <c r="Y125" i="1"/>
  <c r="Y126" i="1"/>
  <c r="Y98" i="1"/>
  <c r="Y2" i="1"/>
  <c r="Y81" i="1"/>
  <c r="Y97" i="1"/>
  <c r="Y62" i="1"/>
  <c r="Y17" i="1"/>
  <c r="Y60" i="1"/>
  <c r="Y15" i="1"/>
  <c r="Y36" i="1"/>
  <c r="Y68" i="1"/>
  <c r="Y50" i="1"/>
  <c r="Y5" i="1"/>
  <c r="Y66" i="1"/>
  <c r="Y96" i="1"/>
  <c r="Y79" i="1"/>
  <c r="Y89" i="1"/>
  <c r="Y88" i="1"/>
  <c r="Y53" i="1"/>
  <c r="Y132" i="1"/>
  <c r="Y51" i="1"/>
  <c r="Y76" i="1"/>
  <c r="Y106" i="1"/>
  <c r="Y85" i="1"/>
  <c r="Y49" i="1"/>
  <c r="Y104" i="1"/>
  <c r="Y84" i="1"/>
  <c r="Y65" i="1"/>
  <c r="Y48" i="1"/>
  <c r="Y31" i="1"/>
  <c r="Y130" i="1"/>
  <c r="Y124" i="1"/>
  <c r="Y16" i="1"/>
  <c r="Y129" i="1"/>
  <c r="Y135" i="1"/>
  <c r="Y69" i="1"/>
  <c r="Y107" i="1"/>
  <c r="Y7" i="1"/>
  <c r="Y131" i="1"/>
  <c r="Y105" i="1"/>
  <c r="Y32" i="1"/>
  <c r="Y128" i="1"/>
  <c r="Y83" i="1"/>
  <c r="Y64" i="1"/>
  <c r="Y27" i="1"/>
  <c r="Y33" i="1"/>
  <c r="Y45" i="1"/>
  <c r="Y46" i="1"/>
  <c r="Y47" i="1"/>
  <c r="Y18" i="1"/>
  <c r="Y117" i="1"/>
  <c r="Y35" i="1"/>
  <c r="Y6" i="1"/>
  <c r="Y87" i="1"/>
  <c r="Y67" i="1"/>
  <c r="Y127" i="1"/>
  <c r="Y101" i="1"/>
  <c r="Y63" i="1"/>
  <c r="Y26" i="1"/>
  <c r="Y42" i="1"/>
  <c r="Y23" i="1"/>
  <c r="Y140" i="1"/>
  <c r="Y123" i="1"/>
  <c r="Y95" i="1"/>
  <c r="Y75" i="1"/>
  <c r="Y59" i="1"/>
  <c r="Y41" i="1"/>
  <c r="Y139" i="1"/>
  <c r="Y122" i="1"/>
  <c r="Y94" i="1"/>
  <c r="Y58" i="1"/>
  <c r="Y40" i="1"/>
  <c r="Y138" i="1"/>
  <c r="Y121" i="1"/>
  <c r="Y92" i="1"/>
  <c r="Y73" i="1"/>
  <c r="Y57" i="1"/>
  <c r="Y39" i="1"/>
  <c r="Y19" i="1"/>
  <c r="Y137" i="1"/>
  <c r="Y120" i="1"/>
  <c r="Y91" i="1"/>
  <c r="Y72" i="1"/>
  <c r="Y56" i="1"/>
  <c r="Y136" i="1"/>
  <c r="Y119" i="1"/>
  <c r="Y90" i="1"/>
  <c r="Y71" i="1"/>
  <c r="Y55" i="1"/>
  <c r="Y37" i="1"/>
  <c r="Y25" i="1"/>
  <c r="Y43" i="1"/>
  <c r="Y24" i="1"/>
  <c r="Y34" i="1"/>
  <c r="Y118" i="1"/>
  <c r="Y102" i="1"/>
  <c r="Y86" i="1"/>
  <c r="Y70" i="1"/>
  <c r="Y54" i="1"/>
  <c r="Y38" i="1"/>
  <c r="Y22" i="1"/>
  <c r="D2" i="1" l="1"/>
  <c r="N83" i="1"/>
  <c r="N215" i="1"/>
  <c r="O105" i="1"/>
  <c r="O293" i="1"/>
  <c r="O260" i="1"/>
  <c r="O86" i="1"/>
  <c r="O128" i="1"/>
  <c r="O210" i="1"/>
  <c r="O73" i="1"/>
  <c r="O235" i="1"/>
  <c r="O97" i="1"/>
  <c r="O215" i="1"/>
  <c r="O275" i="1"/>
  <c r="O213" i="1"/>
  <c r="O125" i="1"/>
  <c r="O270" i="1"/>
  <c r="O236" i="1"/>
  <c r="O303" i="1"/>
  <c r="O25" i="1"/>
  <c r="O44" i="1"/>
  <c r="O35" i="1"/>
  <c r="O221" i="1"/>
  <c r="O36" i="1"/>
  <c r="O245" i="1"/>
  <c r="O150" i="1"/>
  <c r="O242" i="1"/>
  <c r="O233" i="1"/>
  <c r="O219" i="1"/>
  <c r="O11" i="1"/>
  <c r="O319" i="1"/>
  <c r="O41" i="1"/>
  <c r="O307" i="1"/>
  <c r="O176" i="1"/>
  <c r="O77" i="1"/>
  <c r="O28" i="1"/>
  <c r="O172" i="1"/>
  <c r="O316" i="1"/>
  <c r="O79" i="1"/>
  <c r="O335" i="1"/>
  <c r="O145" i="1"/>
  <c r="O48" i="1"/>
  <c r="O7" i="1"/>
  <c r="O263" i="1"/>
  <c r="O67" i="1"/>
  <c r="O323" i="1"/>
  <c r="O102" i="1"/>
  <c r="O68" i="1"/>
  <c r="O324" i="1"/>
  <c r="O309" i="1"/>
  <c r="O192" i="1"/>
  <c r="O18" i="1"/>
  <c r="O274" i="1"/>
  <c r="O89" i="1"/>
  <c r="O109" i="1"/>
  <c r="O56" i="1"/>
  <c r="O269" i="1"/>
  <c r="O91" i="1"/>
  <c r="O96" i="1"/>
  <c r="O169" i="1"/>
  <c r="O279" i="1"/>
  <c r="O339" i="1"/>
  <c r="O84" i="1"/>
  <c r="O325" i="1"/>
  <c r="O208" i="1"/>
  <c r="O34" i="1"/>
  <c r="O200" i="1"/>
  <c r="O173" i="1"/>
  <c r="O253" i="1"/>
  <c r="O61" i="1"/>
  <c r="O152" i="1"/>
  <c r="O111" i="1"/>
  <c r="O224" i="1"/>
  <c r="O177" i="1"/>
  <c r="O330" i="1"/>
  <c r="O39" i="1"/>
  <c r="O295" i="1"/>
  <c r="O99" i="1"/>
  <c r="O43" i="1"/>
  <c r="O166" i="1"/>
  <c r="O100" i="1"/>
  <c r="O12" i="1"/>
  <c r="O13" i="1"/>
  <c r="O278" i="1"/>
  <c r="O240" i="1"/>
  <c r="O50" i="1"/>
  <c r="O306" i="1"/>
  <c r="O205" i="1"/>
  <c r="O29" i="1"/>
  <c r="O154" i="1"/>
  <c r="O60" i="1"/>
  <c r="O127" i="1"/>
  <c r="O24" i="1"/>
  <c r="O193" i="1"/>
  <c r="O234" i="1"/>
  <c r="O311" i="1"/>
  <c r="O155" i="1"/>
  <c r="O116" i="1"/>
  <c r="O45" i="1"/>
  <c r="O66" i="1"/>
  <c r="O90" i="1"/>
  <c r="O57" i="1"/>
  <c r="O298" i="1"/>
  <c r="O153" i="1"/>
  <c r="O143" i="1"/>
  <c r="O88" i="1"/>
  <c r="O209" i="1"/>
  <c r="O71" i="1"/>
  <c r="O327" i="1"/>
  <c r="O131" i="1"/>
  <c r="O283" i="1"/>
  <c r="O214" i="1"/>
  <c r="O132" i="1"/>
  <c r="O156" i="1"/>
  <c r="O157" i="1"/>
  <c r="O326" i="1"/>
  <c r="O272" i="1"/>
  <c r="O82" i="1"/>
  <c r="O338" i="1"/>
  <c r="O138" i="1"/>
  <c r="O331" i="1"/>
  <c r="O147" i="1"/>
  <c r="O262" i="1"/>
  <c r="O21" i="1"/>
  <c r="O110" i="1"/>
  <c r="O98" i="1"/>
  <c r="O168" i="1"/>
  <c r="O30" i="1"/>
  <c r="O202" i="1"/>
  <c r="O216" i="1"/>
  <c r="O103" i="1"/>
  <c r="O163" i="1"/>
  <c r="O310" i="1"/>
  <c r="O37" i="1"/>
  <c r="O142" i="1"/>
  <c r="O114" i="1"/>
  <c r="O296" i="1"/>
  <c r="O123" i="1"/>
  <c r="O78" i="1"/>
  <c r="O106" i="1"/>
  <c r="O299" i="1"/>
  <c r="O191" i="1"/>
  <c r="O264" i="1"/>
  <c r="O257" i="1"/>
  <c r="O190" i="1"/>
  <c r="O119" i="1"/>
  <c r="O280" i="1"/>
  <c r="O179" i="1"/>
  <c r="O117" i="1"/>
  <c r="O342" i="1"/>
  <c r="O180" i="1"/>
  <c r="O53" i="1"/>
  <c r="O333" i="1"/>
  <c r="O120" i="1"/>
  <c r="O336" i="1"/>
  <c r="O130" i="1"/>
  <c r="O74" i="1"/>
  <c r="O95" i="1"/>
  <c r="O161" i="1"/>
  <c r="O23" i="1"/>
  <c r="O83" i="1"/>
  <c r="O134" i="1"/>
  <c r="O340" i="1"/>
  <c r="O246" i="1"/>
  <c r="O290" i="1"/>
  <c r="O55" i="1"/>
  <c r="O115" i="1"/>
  <c r="O198" i="1"/>
  <c r="O92" i="1"/>
  <c r="O294" i="1"/>
  <c r="O256" i="1"/>
  <c r="O322" i="1"/>
  <c r="O237" i="1"/>
  <c r="O75" i="1"/>
  <c r="O40" i="1"/>
  <c r="O201" i="1"/>
  <c r="O252" i="1"/>
  <c r="O217" i="1"/>
  <c r="O203" i="1"/>
  <c r="O159" i="1"/>
  <c r="O136" i="1"/>
  <c r="O225" i="1"/>
  <c r="O87" i="1"/>
  <c r="O5" i="1"/>
  <c r="O315" i="1"/>
  <c r="O148" i="1"/>
  <c r="O189" i="1"/>
  <c r="O288" i="1"/>
  <c r="O26" i="1"/>
  <c r="O332" i="1"/>
  <c r="O93" i="1"/>
  <c r="O317" i="1"/>
  <c r="O175" i="1"/>
  <c r="O241" i="1"/>
  <c r="O141" i="1"/>
  <c r="O248" i="1"/>
  <c r="O85" i="1"/>
  <c r="O164" i="1"/>
  <c r="O301" i="1"/>
  <c r="O304" i="1"/>
  <c r="O42" i="1"/>
  <c r="O107" i="1"/>
  <c r="O249" i="1"/>
  <c r="O94" i="1"/>
  <c r="O218" i="1"/>
  <c r="O10" i="1"/>
  <c r="O207" i="1"/>
  <c r="O312" i="1"/>
  <c r="O273" i="1"/>
  <c r="O286" i="1"/>
  <c r="O135" i="1"/>
  <c r="O59" i="1"/>
  <c r="O195" i="1"/>
  <c r="O149" i="1"/>
  <c r="O158" i="1"/>
  <c r="O196" i="1"/>
  <c r="O69" i="1"/>
  <c r="O6" i="1"/>
  <c r="O16" i="1"/>
  <c r="O65" i="1"/>
  <c r="O146" i="1"/>
  <c r="O282" i="1"/>
  <c r="O58" i="1"/>
  <c r="O250" i="1"/>
  <c r="O222" i="1"/>
  <c r="O204" i="1"/>
  <c r="O15" i="1"/>
  <c r="O271" i="1"/>
  <c r="O49" i="1"/>
  <c r="O337" i="1"/>
  <c r="O187" i="1"/>
  <c r="O199" i="1"/>
  <c r="O184" i="1"/>
  <c r="O232" i="1"/>
  <c r="O254" i="1"/>
  <c r="O171" i="1"/>
  <c r="O31" i="1"/>
  <c r="O287" i="1"/>
  <c r="O9" i="1"/>
  <c r="O266" i="1"/>
  <c r="O19" i="1"/>
  <c r="O341" i="1"/>
  <c r="O20" i="1"/>
  <c r="O276" i="1"/>
  <c r="O118" i="1"/>
  <c r="O144" i="1"/>
  <c r="O297" i="1"/>
  <c r="O226" i="1"/>
  <c r="O121" i="1"/>
  <c r="O314" i="1"/>
  <c r="O300" i="1"/>
  <c r="O113" i="1"/>
  <c r="O291" i="1"/>
  <c r="O160" i="1"/>
  <c r="O251" i="1"/>
  <c r="O318" i="1"/>
  <c r="O76" i="1"/>
  <c r="O63" i="1"/>
  <c r="O129" i="1"/>
  <c r="O220" i="1"/>
  <c r="O247" i="1"/>
  <c r="O51" i="1"/>
  <c r="O54" i="1"/>
  <c r="O52" i="1"/>
  <c r="O308" i="1"/>
  <c r="O277" i="1"/>
  <c r="O182" i="1"/>
  <c r="O329" i="1"/>
  <c r="O258" i="1"/>
  <c r="O284" i="1"/>
  <c r="O259" i="1"/>
  <c r="O197" i="1"/>
  <c r="O281" i="1"/>
  <c r="O186" i="1"/>
  <c r="O47" i="1"/>
  <c r="O231" i="1"/>
  <c r="O292" i="1"/>
  <c r="O313" i="1"/>
  <c r="O230" i="1"/>
  <c r="O328" i="1"/>
  <c r="O27" i="1"/>
  <c r="O126" i="1"/>
  <c r="O8" i="1"/>
  <c r="O139" i="1"/>
  <c r="O14" i="1"/>
  <c r="O223" i="1"/>
  <c r="O80" i="1"/>
  <c r="O289" i="1"/>
  <c r="O302" i="1"/>
  <c r="O151" i="1"/>
  <c r="O267" i="1"/>
  <c r="O211" i="1"/>
  <c r="O181" i="1"/>
  <c r="O238" i="1"/>
  <c r="O212" i="1"/>
  <c r="O101" i="1"/>
  <c r="O22" i="1"/>
  <c r="O32" i="1"/>
  <c r="O81" i="1"/>
  <c r="O162" i="1"/>
  <c r="O4" i="1"/>
  <c r="O72" i="1"/>
  <c r="O174" i="1"/>
  <c r="O104" i="1"/>
  <c r="O285" i="1"/>
  <c r="O46" i="1"/>
  <c r="O239" i="1"/>
  <c r="O17" i="1"/>
  <c r="O305" i="1"/>
  <c r="O122" i="1"/>
  <c r="O167" i="1"/>
  <c r="O268" i="1"/>
  <c r="O227" i="1"/>
  <c r="O229" i="1"/>
  <c r="O334" i="1"/>
  <c r="O228" i="1"/>
  <c r="O133" i="1"/>
  <c r="O38" i="1"/>
  <c r="O64" i="1"/>
  <c r="O137" i="1"/>
  <c r="O178" i="1"/>
  <c r="O2" i="1"/>
  <c r="O108" i="1"/>
  <c r="O124" i="1"/>
  <c r="O206" i="1"/>
  <c r="O170" i="1"/>
  <c r="O140" i="1"/>
  <c r="O62" i="1"/>
  <c r="O255" i="1"/>
  <c r="O33" i="1"/>
  <c r="O321" i="1"/>
  <c r="O185" i="1"/>
  <c r="O183" i="1"/>
  <c r="O188" i="1"/>
  <c r="O243" i="1"/>
  <c r="O261" i="1"/>
  <c r="O3" i="1"/>
  <c r="O244" i="1"/>
  <c r="O165" i="1"/>
  <c r="O70" i="1"/>
  <c r="O112" i="1"/>
  <c r="O265" i="1"/>
  <c r="O194" i="1"/>
  <c r="O320" i="1"/>
  <c r="M2" i="1" l="1"/>
  <c r="C2" i="1" s="1"/>
  <c r="D99" i="1" l="1"/>
  <c r="D100" i="1" s="1"/>
  <c r="D210" i="1"/>
  <c r="M210" i="1" s="1"/>
  <c r="C210" i="1" s="1"/>
  <c r="D319" i="1"/>
  <c r="D93" i="1"/>
  <c r="M93" i="1" s="1"/>
  <c r="D329" i="1"/>
  <c r="M329" i="1" s="1"/>
  <c r="C329" i="1" s="1"/>
  <c r="D82" i="1"/>
  <c r="M82" i="1" s="1"/>
  <c r="D123" i="1"/>
  <c r="M123" i="1" s="1"/>
  <c r="C123" i="1" s="1"/>
  <c r="D283" i="1"/>
  <c r="D339" i="1"/>
  <c r="M339" i="1" s="1"/>
  <c r="C339" i="1" s="1"/>
  <c r="D337" i="1"/>
  <c r="D120" i="1"/>
  <c r="M120" i="1" s="1"/>
  <c r="C120" i="1" s="1"/>
  <c r="D122" i="1"/>
  <c r="M122" i="1" s="1"/>
  <c r="C122" i="1" s="1"/>
  <c r="D18" i="1"/>
  <c r="D19" i="1" s="1"/>
  <c r="D20" i="1" s="1"/>
  <c r="D21" i="1" s="1"/>
  <c r="D129" i="1"/>
  <c r="D177" i="1"/>
  <c r="M177" i="1" s="1"/>
  <c r="C177" i="1" s="1"/>
  <c r="D303" i="1"/>
  <c r="D278" i="1"/>
  <c r="D105" i="1"/>
  <c r="M105" i="1" s="1"/>
  <c r="C105" i="1" s="1"/>
  <c r="D170" i="1"/>
  <c r="M170" i="1" s="1"/>
  <c r="D258" i="1"/>
  <c r="D65" i="1"/>
  <c r="D66" i="1" s="1"/>
  <c r="D70" i="1"/>
  <c r="M70" i="1" s="1"/>
  <c r="C70" i="1" s="1"/>
  <c r="D17" i="1"/>
  <c r="M17" i="1" s="1"/>
  <c r="C17" i="1" s="1"/>
  <c r="D126" i="1"/>
  <c r="D127" i="1" s="1"/>
  <c r="D118" i="1"/>
  <c r="D119" i="1" s="1"/>
  <c r="M119" i="1" s="1"/>
  <c r="C119" i="1" s="1"/>
  <c r="D59" i="1"/>
  <c r="M59" i="1" s="1"/>
  <c r="C59" i="1" s="1"/>
  <c r="D300" i="1"/>
  <c r="D182" i="1"/>
  <c r="M182" i="1" s="1"/>
  <c r="C182" i="1" s="1"/>
  <c r="D237" i="1"/>
  <c r="D86" i="1"/>
  <c r="D87" i="1" s="1"/>
  <c r="D328" i="1"/>
  <c r="M328" i="1" s="1"/>
  <c r="C328" i="1" s="1"/>
  <c r="D335" i="1"/>
  <c r="M335" i="1" s="1"/>
  <c r="C335" i="1" s="1"/>
  <c r="D106" i="1"/>
  <c r="D107" i="1" s="1"/>
  <c r="M107" i="1" s="1"/>
  <c r="C107" i="1" s="1"/>
  <c r="D272" i="1"/>
  <c r="M272" i="1" s="1"/>
  <c r="C272" i="1" s="1"/>
  <c r="D187" i="1"/>
  <c r="D244" i="1"/>
  <c r="D207" i="1"/>
  <c r="M207" i="1" s="1"/>
  <c r="C207" i="1" s="1"/>
  <c r="D325" i="1"/>
  <c r="D219" i="1"/>
  <c r="M219" i="1" s="1"/>
  <c r="C219" i="1" s="1"/>
  <c r="D208" i="1"/>
  <c r="D140" i="1"/>
  <c r="D217" i="1"/>
  <c r="M217" i="1" s="1"/>
  <c r="C217" i="1" s="1"/>
  <c r="D340" i="1"/>
  <c r="D306" i="1"/>
  <c r="M306" i="1" s="1"/>
  <c r="C306" i="1" s="1"/>
  <c r="D179" i="1"/>
  <c r="D175" i="1"/>
  <c r="D135" i="1"/>
  <c r="D27" i="1"/>
  <c r="D28" i="1" s="1"/>
  <c r="D29" i="1" s="1"/>
  <c r="D321" i="1"/>
  <c r="M321" i="1" s="1"/>
  <c r="C321" i="1" s="1"/>
  <c r="D287" i="1"/>
  <c r="D71" i="1"/>
  <c r="M71" i="1" s="1"/>
  <c r="C71" i="1" s="1"/>
  <c r="D291" i="1"/>
  <c r="D173" i="1"/>
  <c r="D174" i="1" s="1"/>
  <c r="M174" i="1" s="1"/>
  <c r="C174" i="1" s="1"/>
  <c r="D280" i="1"/>
  <c r="D94" i="1" l="1"/>
  <c r="D95" i="1" s="1"/>
  <c r="M95" i="1" s="1"/>
  <c r="C95" i="1" s="1"/>
  <c r="M258" i="1"/>
  <c r="C258" i="1" s="1"/>
  <c r="M135" i="1"/>
  <c r="C135" i="1" s="1"/>
  <c r="M126" i="1"/>
  <c r="C126" i="1" s="1"/>
  <c r="M287" i="1"/>
  <c r="C287" i="1" s="1"/>
  <c r="M175" i="1"/>
  <c r="C175" i="1" s="1"/>
  <c r="M303" i="1"/>
  <c r="C303" i="1" s="1"/>
  <c r="M86" i="1"/>
  <c r="C86" i="1" s="1"/>
  <c r="M118" i="1"/>
  <c r="C118" i="1" s="1"/>
  <c r="D83" i="1"/>
  <c r="M83" i="1" s="1"/>
  <c r="C83" i="1" s="1"/>
  <c r="M18" i="1"/>
  <c r="C18" i="1" s="1"/>
  <c r="M237" i="1"/>
  <c r="C237" i="1" s="1"/>
  <c r="D60" i="1"/>
  <c r="D61" i="1" s="1"/>
  <c r="M325" i="1"/>
  <c r="C325" i="1" s="1"/>
  <c r="M300" i="1"/>
  <c r="C300" i="1" s="1"/>
  <c r="M173" i="1"/>
  <c r="C173" i="1" s="1"/>
  <c r="M27" i="1"/>
  <c r="C27" i="1" s="1"/>
  <c r="M283" i="1"/>
  <c r="C283" i="1" s="1"/>
  <c r="M291" i="1"/>
  <c r="C291" i="1" s="1"/>
  <c r="M129" i="1"/>
  <c r="C129" i="1" s="1"/>
  <c r="D124" i="1"/>
  <c r="M124" i="1" s="1"/>
  <c r="C124" i="1" s="1"/>
  <c r="M140" i="1"/>
  <c r="C140" i="1" s="1"/>
  <c r="M28" i="1"/>
  <c r="M20" i="1"/>
  <c r="D142" i="1"/>
  <c r="M142" i="1" s="1"/>
  <c r="C142" i="1" s="1"/>
  <c r="M179" i="1"/>
  <c r="C179" i="1" s="1"/>
  <c r="M65" i="1"/>
  <c r="C65" i="1" s="1"/>
  <c r="M280" i="1"/>
  <c r="C280" i="1" s="1"/>
  <c r="M106" i="1"/>
  <c r="C106" i="1" s="1"/>
  <c r="M19" i="1"/>
  <c r="C19" i="1" s="1"/>
  <c r="D88" i="1"/>
  <c r="D89" i="1" s="1"/>
  <c r="M87" i="1"/>
  <c r="C87" i="1" s="1"/>
  <c r="M3" i="1"/>
  <c r="D108" i="1"/>
  <c r="M108" i="1" s="1"/>
  <c r="M66" i="1"/>
  <c r="C66" i="1" s="1"/>
  <c r="D67" i="1"/>
  <c r="M340" i="1"/>
  <c r="C340" i="1" s="1"/>
  <c r="M127" i="1"/>
  <c r="C127" i="1" s="1"/>
  <c r="D128" i="1"/>
  <c r="M128" i="1" s="1"/>
  <c r="C128" i="1" s="1"/>
  <c r="M21" i="1"/>
  <c r="D22" i="1"/>
  <c r="M5" i="1"/>
  <c r="C5" i="1" s="1"/>
  <c r="M319" i="1"/>
  <c r="C319" i="1" s="1"/>
  <c r="M208" i="1"/>
  <c r="C208" i="1" s="1"/>
  <c r="M244" i="1"/>
  <c r="C244" i="1" s="1"/>
  <c r="D245" i="1"/>
  <c r="M4" i="1"/>
  <c r="M29" i="1"/>
  <c r="D30" i="1"/>
  <c r="D72" i="1"/>
  <c r="M337" i="1"/>
  <c r="C337" i="1" s="1"/>
  <c r="M99" i="1"/>
  <c r="D121" i="1"/>
  <c r="M121" i="1" s="1"/>
  <c r="C121" i="1" s="1"/>
  <c r="M187" i="1"/>
  <c r="C187" i="1" s="1"/>
  <c r="M278" i="1"/>
  <c r="C278" i="1" s="1"/>
  <c r="M100" i="1"/>
  <c r="D101" i="1"/>
  <c r="D96" i="1" l="1"/>
  <c r="D97" i="1" s="1"/>
  <c r="M97" i="1" s="1"/>
  <c r="C97" i="1" s="1"/>
  <c r="M94" i="1"/>
  <c r="C94" i="1" s="1"/>
  <c r="D84" i="1"/>
  <c r="D85" i="1" s="1"/>
  <c r="M85" i="1" s="1"/>
  <c r="C85" i="1" s="1"/>
  <c r="M60" i="1"/>
  <c r="C60" i="1" s="1"/>
  <c r="D125" i="1"/>
  <c r="M125" i="1" s="1"/>
  <c r="C125" i="1" s="1"/>
  <c r="D109" i="1"/>
  <c r="M109" i="1" s="1"/>
  <c r="M88" i="1"/>
  <c r="C88" i="1" s="1"/>
  <c r="D286" i="1"/>
  <c r="M245" i="1"/>
  <c r="C245" i="1" s="1"/>
  <c r="D90" i="1"/>
  <c r="M89" i="1"/>
  <c r="C89" i="1" s="1"/>
  <c r="D324" i="1"/>
  <c r="M101" i="1"/>
  <c r="C101" i="1" s="1"/>
  <c r="D102" i="1"/>
  <c r="D31" i="1"/>
  <c r="M30" i="1"/>
  <c r="M61" i="1"/>
  <c r="C61" i="1" s="1"/>
  <c r="D62" i="1"/>
  <c r="D23" i="1"/>
  <c r="M22" i="1"/>
  <c r="C22" i="1" s="1"/>
  <c r="M6" i="1"/>
  <c r="C6" i="1" s="1"/>
  <c r="D68" i="1"/>
  <c r="M67" i="1"/>
  <c r="C67" i="1" s="1"/>
  <c r="M72" i="1"/>
  <c r="C72" i="1" s="1"/>
  <c r="D73" i="1"/>
  <c r="D98" i="1" l="1"/>
  <c r="M98" i="1" s="1"/>
  <c r="C98" i="1" s="1"/>
  <c r="M96" i="1"/>
  <c r="C96" i="1" s="1"/>
  <c r="M286" i="1"/>
  <c r="C286" i="1" s="1"/>
  <c r="M324" i="1"/>
  <c r="C324" i="1" s="1"/>
  <c r="M84" i="1"/>
  <c r="C84" i="1" s="1"/>
  <c r="D110" i="1"/>
  <c r="M110" i="1" s="1"/>
  <c r="D295" i="1"/>
  <c r="M90" i="1"/>
  <c r="C90" i="1" s="1"/>
  <c r="D91" i="1"/>
  <c r="D69" i="1"/>
  <c r="M69" i="1" s="1"/>
  <c r="C69" i="1" s="1"/>
  <c r="M68" i="1"/>
  <c r="C68" i="1" s="1"/>
  <c r="M102" i="1"/>
  <c r="C102" i="1" s="1"/>
  <c r="D103" i="1"/>
  <c r="M31" i="1"/>
  <c r="C31" i="1" s="1"/>
  <c r="D32" i="1"/>
  <c r="M62" i="1"/>
  <c r="C62" i="1" s="1"/>
  <c r="D63" i="1"/>
  <c r="D139" i="1"/>
  <c r="D74" i="1"/>
  <c r="M73" i="1"/>
  <c r="C73" i="1" s="1"/>
  <c r="M7" i="1"/>
  <c r="C7" i="1" s="1"/>
  <c r="D8" i="1"/>
  <c r="D24" i="1"/>
  <c r="M23" i="1"/>
  <c r="C23" i="1" s="1"/>
  <c r="M139" i="1" l="1"/>
  <c r="C139" i="1" s="1"/>
  <c r="D111" i="1"/>
  <c r="D112" i="1" s="1"/>
  <c r="D296" i="1"/>
  <c r="M295" i="1"/>
  <c r="C295" i="1" s="1"/>
  <c r="D9" i="1"/>
  <c r="M8" i="1"/>
  <c r="D92" i="1"/>
  <c r="M92" i="1" s="1"/>
  <c r="C92" i="1" s="1"/>
  <c r="M91" i="1"/>
  <c r="C91" i="1" s="1"/>
  <c r="D33" i="1"/>
  <c r="M32" i="1"/>
  <c r="C32" i="1" s="1"/>
  <c r="D104" i="1"/>
  <c r="M104" i="1" s="1"/>
  <c r="C104" i="1" s="1"/>
  <c r="M103" i="1"/>
  <c r="M74" i="1"/>
  <c r="D75" i="1"/>
  <c r="M63" i="1"/>
  <c r="C63" i="1" s="1"/>
  <c r="D64" i="1"/>
  <c r="M64" i="1" s="1"/>
  <c r="C64" i="1" s="1"/>
  <c r="M24" i="1"/>
  <c r="C24" i="1" s="1"/>
  <c r="D25" i="1"/>
  <c r="M111" i="1" l="1"/>
  <c r="M296" i="1"/>
  <c r="C296" i="1" s="1"/>
  <c r="D26" i="1"/>
  <c r="M26" i="1" s="1"/>
  <c r="C26" i="1" s="1"/>
  <c r="M25" i="1"/>
  <c r="C25" i="1" s="1"/>
  <c r="M33" i="1"/>
  <c r="C33" i="1" s="1"/>
  <c r="D34" i="1"/>
  <c r="D113" i="1"/>
  <c r="M112" i="1"/>
  <c r="M75" i="1"/>
  <c r="C75" i="1" s="1"/>
  <c r="D76" i="1"/>
  <c r="M9" i="1"/>
  <c r="D10" i="1"/>
  <c r="D298" i="1" l="1"/>
  <c r="M113" i="1"/>
  <c r="D114" i="1"/>
  <c r="M76" i="1"/>
  <c r="C76" i="1" s="1"/>
  <c r="D77" i="1"/>
  <c r="D35" i="1"/>
  <c r="M34" i="1"/>
  <c r="C34" i="1" s="1"/>
  <c r="M10" i="1"/>
  <c r="D11" i="1"/>
  <c r="M298" i="1" l="1"/>
  <c r="C298" i="1" s="1"/>
  <c r="M77" i="1"/>
  <c r="D78" i="1"/>
  <c r="M11" i="1"/>
  <c r="D12" i="1"/>
  <c r="M114" i="1"/>
  <c r="D115" i="1"/>
  <c r="D36" i="1"/>
  <c r="M35" i="1"/>
  <c r="C35" i="1" s="1"/>
  <c r="D37" i="1" l="1"/>
  <c r="M36" i="1"/>
  <c r="C36" i="1" s="1"/>
  <c r="M115" i="1"/>
  <c r="D116" i="1"/>
  <c r="M12" i="1"/>
  <c r="D13" i="1"/>
  <c r="D79" i="1"/>
  <c r="M78" i="1"/>
  <c r="M79" i="1" l="1"/>
  <c r="C79" i="1" s="1"/>
  <c r="D80" i="1"/>
  <c r="M37" i="1"/>
  <c r="C37" i="1" s="1"/>
  <c r="D38" i="1"/>
  <c r="D117" i="1"/>
  <c r="M117" i="1" s="1"/>
  <c r="C117" i="1" s="1"/>
  <c r="M116" i="1"/>
  <c r="M13" i="1"/>
  <c r="D14" i="1"/>
  <c r="D152" i="1" l="1"/>
  <c r="D269" i="1"/>
  <c r="D81" i="1"/>
  <c r="M81" i="1" s="1"/>
  <c r="M80" i="1"/>
  <c r="M38" i="1"/>
  <c r="C38" i="1" s="1"/>
  <c r="D39" i="1"/>
  <c r="D15" i="1"/>
  <c r="M14" i="1"/>
  <c r="C81" i="1" l="1"/>
  <c r="M269" i="1"/>
  <c r="C269" i="1" s="1"/>
  <c r="M152" i="1"/>
  <c r="C152" i="1" s="1"/>
  <c r="D16" i="1"/>
  <c r="M16" i="1" s="1"/>
  <c r="C16" i="1" s="1"/>
  <c r="M15" i="1"/>
  <c r="C15" i="1" s="1"/>
  <c r="D40" i="1"/>
  <c r="M39" i="1"/>
  <c r="C39" i="1" s="1"/>
  <c r="D231" i="1" l="1"/>
  <c r="D41" i="1"/>
  <c r="M40" i="1"/>
  <c r="C40" i="1" s="1"/>
  <c r="M231" i="1" l="1"/>
  <c r="C231" i="1" s="1"/>
  <c r="D42" i="1"/>
  <c r="M41" i="1"/>
  <c r="C41" i="1" s="1"/>
  <c r="D43" i="1" l="1"/>
  <c r="M42" i="1"/>
  <c r="C42" i="1" s="1"/>
  <c r="D44" i="1" l="1"/>
  <c r="M43" i="1"/>
  <c r="C43" i="1" s="1"/>
  <c r="D45" i="1" l="1"/>
  <c r="M44" i="1"/>
  <c r="D46" i="1" l="1"/>
  <c r="M45" i="1"/>
  <c r="C45" i="1" s="1"/>
  <c r="M46" i="1" l="1"/>
  <c r="C46" i="1" s="1"/>
  <c r="D47" i="1"/>
  <c r="D48" i="1" l="1"/>
  <c r="M47" i="1"/>
  <c r="C47" i="1" s="1"/>
  <c r="M48" i="1" l="1"/>
  <c r="C48" i="1" s="1"/>
  <c r="D49" i="1"/>
  <c r="D50" i="1" l="1"/>
  <c r="M49" i="1"/>
  <c r="C49" i="1" s="1"/>
  <c r="D51" i="1" l="1"/>
  <c r="M50" i="1"/>
  <c r="C50" i="1" s="1"/>
  <c r="D52" i="1" l="1"/>
  <c r="M51" i="1"/>
  <c r="C51" i="1" s="1"/>
  <c r="M52" i="1" l="1"/>
  <c r="D53" i="1"/>
  <c r="D54" i="1" l="1"/>
  <c r="M53" i="1"/>
  <c r="C53" i="1" s="1"/>
  <c r="M54" i="1" l="1"/>
  <c r="C54" i="1" s="1"/>
  <c r="D55" i="1"/>
  <c r="M55" i="1" l="1"/>
  <c r="C55" i="1" s="1"/>
  <c r="D56" i="1"/>
  <c r="D57" i="1" l="1"/>
  <c r="M56" i="1"/>
  <c r="C56" i="1" s="1"/>
  <c r="M57" i="1" l="1"/>
  <c r="C57" i="1" s="1"/>
  <c r="D58" i="1"/>
  <c r="M58" i="1" l="1"/>
  <c r="C58" i="1" s="1"/>
  <c r="D274" i="1"/>
  <c r="M274" i="1" s="1"/>
  <c r="C274" i="1" s="1"/>
  <c r="Y166" i="1" l="1"/>
  <c r="Y204" i="1" l="1"/>
  <c r="C204" i="1" s="1"/>
  <c r="C166" i="1"/>
  <c r="D137" i="1" l="1"/>
  <c r="M137" i="1" l="1"/>
  <c r="C137" i="1" s="1"/>
  <c r="C188" i="1" l="1"/>
  <c r="Y194" i="1"/>
  <c r="C194" i="1"/>
  <c r="C333" i="1"/>
  <c r="C301" i="1"/>
  <c r="X255" i="1"/>
  <c r="Y255" i="1" s="1"/>
  <c r="X254" i="1"/>
  <c r="Y254" i="1"/>
  <c r="C254" i="1"/>
  <c r="C226" i="1"/>
  <c r="C216" i="1"/>
  <c r="X198" i="1"/>
  <c r="X199" i="1" s="1"/>
  <c r="X200" i="1" s="1"/>
  <c r="X201" i="1" s="1"/>
  <c r="X202" i="1" s="1"/>
  <c r="X203" i="1" s="1"/>
  <c r="X204" i="1" s="1"/>
  <c r="X205" i="1" s="1"/>
  <c r="Y205" i="1" s="1"/>
  <c r="Y198" i="1"/>
  <c r="C198" i="1"/>
  <c r="X191" i="1"/>
  <c r="X192" i="1" s="1"/>
  <c r="X193" i="1" s="1"/>
  <c r="X194" i="1" s="1"/>
  <c r="X195" i="1" s="1"/>
  <c r="Y195" i="1" s="1"/>
  <c r="Y191" i="1"/>
  <c r="C191" i="1"/>
  <c r="X159" i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Y170" i="1" s="1"/>
  <c r="C170" i="1" s="1"/>
  <c r="Y159" i="1"/>
  <c r="C159" i="1" s="1"/>
  <c r="X153" i="1"/>
  <c r="X154" i="1" s="1"/>
  <c r="X155" i="1" s="1"/>
  <c r="Y155" i="1" s="1"/>
  <c r="Y153" i="1"/>
  <c r="C153" i="1" s="1"/>
  <c r="X148" i="1"/>
  <c r="X149" i="1" s="1"/>
  <c r="X150" i="1" s="1"/>
  <c r="X151" i="1" s="1"/>
  <c r="Y151" i="1" s="1"/>
  <c r="Y148" i="1"/>
  <c r="C148" i="1"/>
  <c r="X134" i="1"/>
  <c r="Y134" i="1" s="1"/>
  <c r="X133" i="1"/>
  <c r="Y133" i="1"/>
  <c r="C133" i="1"/>
  <c r="S129" i="1"/>
  <c r="S130" i="1" s="1"/>
  <c r="S131" i="1" s="1"/>
  <c r="S132" i="1" s="1"/>
  <c r="S133" i="1" s="1"/>
  <c r="S134" i="1" s="1"/>
  <c r="S135" i="1" s="1"/>
  <c r="D58" i="6"/>
  <c r="D40" i="6"/>
  <c r="D46" i="6"/>
  <c r="D68" i="6"/>
  <c r="D30" i="6"/>
  <c r="D38" i="6"/>
  <c r="D15" i="6"/>
  <c r="D21" i="6"/>
  <c r="D63" i="6"/>
  <c r="D8" i="6"/>
  <c r="D13" i="6"/>
  <c r="D4" i="6"/>
  <c r="D59" i="6"/>
  <c r="D71" i="6"/>
  <c r="D64" i="6"/>
  <c r="D42" i="6"/>
  <c r="D35" i="6"/>
  <c r="D41" i="6"/>
  <c r="D43" i="6"/>
  <c r="D55" i="6"/>
  <c r="D37" i="6"/>
  <c r="D10" i="6"/>
  <c r="D77" i="6"/>
  <c r="D57" i="6"/>
  <c r="D2" i="6"/>
  <c r="D50" i="6"/>
  <c r="D25" i="6"/>
  <c r="D6" i="6"/>
  <c r="D70" i="6"/>
  <c r="D54" i="6"/>
  <c r="D72" i="6"/>
  <c r="D52" i="6"/>
  <c r="D18" i="6"/>
  <c r="D17" i="6"/>
  <c r="D34" i="6"/>
  <c r="D31" i="6"/>
  <c r="D33" i="6"/>
  <c r="D19" i="6"/>
  <c r="D12" i="6"/>
  <c r="D36" i="6"/>
  <c r="D11" i="6"/>
  <c r="D28" i="6"/>
  <c r="D76" i="6"/>
  <c r="D27" i="6"/>
  <c r="D51" i="6"/>
  <c r="D39" i="6"/>
  <c r="D62" i="6"/>
  <c r="D75" i="6"/>
  <c r="D24" i="6"/>
  <c r="D60" i="6"/>
  <c r="D74" i="6"/>
  <c r="D65" i="6"/>
  <c r="D73" i="6"/>
  <c r="D53" i="6"/>
  <c r="D47" i="6"/>
  <c r="D16" i="6"/>
  <c r="D56" i="6"/>
  <c r="D14" i="6"/>
  <c r="D45" i="6"/>
  <c r="D48" i="6"/>
  <c r="D5" i="6"/>
  <c r="D44" i="6"/>
  <c r="D9" i="6"/>
  <c r="D23" i="6"/>
  <c r="D29" i="6"/>
  <c r="D20" i="6"/>
  <c r="D32" i="6"/>
  <c r="D26" i="6"/>
  <c r="S136" i="1" l="1"/>
  <c r="S137" i="1" s="1"/>
  <c r="D136" i="1"/>
  <c r="M136" i="1" s="1"/>
  <c r="C136" i="1" s="1"/>
  <c r="D130" i="1"/>
  <c r="D131" i="1" l="1"/>
  <c r="M130" i="1"/>
  <c r="C130" i="1" s="1"/>
  <c r="S138" i="1"/>
  <c r="S139" i="1" s="1"/>
  <c r="S140" i="1" s="1"/>
  <c r="D138" i="1"/>
  <c r="M138" i="1" s="1"/>
  <c r="C138" i="1" s="1"/>
  <c r="S141" i="1" l="1"/>
  <c r="S142" i="1" s="1"/>
  <c r="D141" i="1"/>
  <c r="M141" i="1" s="1"/>
  <c r="C141" i="1" s="1"/>
  <c r="D78" i="6"/>
  <c r="M131" i="1"/>
  <c r="C131" i="1" s="1"/>
  <c r="D132" i="1"/>
  <c r="D133" i="1" l="1"/>
  <c r="M132" i="1"/>
  <c r="C132" i="1" s="1"/>
  <c r="D79" i="6"/>
  <c r="D80" i="6"/>
  <c r="S143" i="1"/>
  <c r="S144" i="1" s="1"/>
  <c r="S145" i="1" s="1"/>
  <c r="S146" i="1" s="1"/>
  <c r="S147" i="1" s="1"/>
  <c r="S148" i="1" s="1"/>
  <c r="S149" i="1" s="1"/>
  <c r="S150" i="1" s="1"/>
  <c r="S151" i="1" s="1"/>
  <c r="S152" i="1" s="1"/>
  <c r="D143" i="1"/>
  <c r="D134" i="1" l="1"/>
  <c r="M134" i="1" s="1"/>
  <c r="C134" i="1" s="1"/>
  <c r="M133" i="1"/>
  <c r="D144" i="1"/>
  <c r="M143" i="1"/>
  <c r="C143" i="1" s="1"/>
  <c r="S153" i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D145" i="1" l="1"/>
  <c r="M144" i="1"/>
  <c r="C144" i="1" s="1"/>
  <c r="S171" i="1"/>
  <c r="S172" i="1" s="1"/>
  <c r="S173" i="1" s="1"/>
  <c r="S174" i="1" s="1"/>
  <c r="S175" i="1" s="1"/>
  <c r="D81" i="6"/>
  <c r="D88" i="6"/>
  <c r="D82" i="6"/>
  <c r="D87" i="6"/>
  <c r="D85" i="6"/>
  <c r="D153" i="1"/>
  <c r="D146" i="1" l="1"/>
  <c r="M145" i="1"/>
  <c r="C145" i="1" s="1"/>
  <c r="D171" i="1"/>
  <c r="D154" i="1"/>
  <c r="M153" i="1"/>
  <c r="S176" i="1"/>
  <c r="S177" i="1" s="1"/>
  <c r="D89" i="6" l="1"/>
  <c r="D155" i="1"/>
  <c r="M154" i="1"/>
  <c r="M171" i="1"/>
  <c r="C171" i="1" s="1"/>
  <c r="D172" i="1"/>
  <c r="M172" i="1" s="1"/>
  <c r="C172" i="1" s="1"/>
  <c r="M146" i="1"/>
  <c r="C146" i="1" s="1"/>
  <c r="D147" i="1"/>
  <c r="S178" i="1"/>
  <c r="S179" i="1" s="1"/>
  <c r="D176" i="1"/>
  <c r="M176" i="1" s="1"/>
  <c r="C176" i="1" s="1"/>
  <c r="D178" i="1" l="1"/>
  <c r="M178" i="1" s="1"/>
  <c r="C178" i="1" s="1"/>
  <c r="D90" i="6"/>
  <c r="D156" i="1"/>
  <c r="M155" i="1"/>
  <c r="C155" i="1" s="1"/>
  <c r="D148" i="1"/>
  <c r="M147" i="1"/>
  <c r="C147" i="1" s="1"/>
  <c r="S180" i="1"/>
  <c r="S181" i="1" s="1"/>
  <c r="S182" i="1" s="1"/>
  <c r="D180" i="1"/>
  <c r="D157" i="1" l="1"/>
  <c r="M156" i="1"/>
  <c r="C156" i="1" s="1"/>
  <c r="M180" i="1"/>
  <c r="C180" i="1" s="1"/>
  <c r="D181" i="1"/>
  <c r="M181" i="1" s="1"/>
  <c r="C181" i="1" s="1"/>
  <c r="S183" i="1"/>
  <c r="S184" i="1" s="1"/>
  <c r="S185" i="1" s="1"/>
  <c r="S186" i="1" s="1"/>
  <c r="S187" i="1" s="1"/>
  <c r="D183" i="1"/>
  <c r="D149" i="1"/>
  <c r="M148" i="1"/>
  <c r="M183" i="1" l="1"/>
  <c r="C183" i="1" s="1"/>
  <c r="D184" i="1"/>
  <c r="D150" i="1"/>
  <c r="M149" i="1"/>
  <c r="S188" i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D188" i="1"/>
  <c r="D158" i="1"/>
  <c r="M157" i="1"/>
  <c r="C157" i="1" s="1"/>
  <c r="M158" i="1" l="1"/>
  <c r="C158" i="1" s="1"/>
  <c r="D159" i="1"/>
  <c r="M188" i="1"/>
  <c r="D189" i="1"/>
  <c r="D185" i="1"/>
  <c r="M184" i="1"/>
  <c r="C184" i="1" s="1"/>
  <c r="S209" i="1"/>
  <c r="S210" i="1" s="1"/>
  <c r="D209" i="1"/>
  <c r="M209" i="1" s="1"/>
  <c r="C209" i="1" s="1"/>
  <c r="M150" i="1"/>
  <c r="D151" i="1"/>
  <c r="M151" i="1" s="1"/>
  <c r="C151" i="1" s="1"/>
  <c r="D190" i="1" l="1"/>
  <c r="M189" i="1"/>
  <c r="C189" i="1" s="1"/>
  <c r="S211" i="1"/>
  <c r="S212" i="1" s="1"/>
  <c r="S213" i="1" s="1"/>
  <c r="S214" i="1" s="1"/>
  <c r="S215" i="1" s="1"/>
  <c r="S216" i="1" s="1"/>
  <c r="S217" i="1" s="1"/>
  <c r="D211" i="1"/>
  <c r="D186" i="1"/>
  <c r="M186" i="1" s="1"/>
  <c r="C186" i="1" s="1"/>
  <c r="M185" i="1"/>
  <c r="C185" i="1" s="1"/>
  <c r="M159" i="1"/>
  <c r="D160" i="1"/>
  <c r="D161" i="1" l="1"/>
  <c r="M160" i="1"/>
  <c r="D212" i="1"/>
  <c r="M211" i="1"/>
  <c r="C211" i="1" s="1"/>
  <c r="S218" i="1"/>
  <c r="S219" i="1" s="1"/>
  <c r="D191" i="1"/>
  <c r="M190" i="1"/>
  <c r="C190" i="1" s="1"/>
  <c r="D218" i="1" l="1"/>
  <c r="M218" i="1" s="1"/>
  <c r="C218" i="1" s="1"/>
  <c r="D192" i="1"/>
  <c r="M191" i="1"/>
  <c r="D213" i="1"/>
  <c r="M212" i="1"/>
  <c r="C212" i="1" s="1"/>
  <c r="S220" i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D220" i="1"/>
  <c r="D162" i="1"/>
  <c r="M161" i="1"/>
  <c r="M162" i="1" l="1"/>
  <c r="D163" i="1"/>
  <c r="S232" i="1"/>
  <c r="S233" i="1" s="1"/>
  <c r="S234" i="1" s="1"/>
  <c r="S235" i="1" s="1"/>
  <c r="S236" i="1" s="1"/>
  <c r="S237" i="1" s="1"/>
  <c r="D232" i="1"/>
  <c r="M213" i="1"/>
  <c r="C213" i="1" s="1"/>
  <c r="D214" i="1"/>
  <c r="D193" i="1"/>
  <c r="M192" i="1"/>
  <c r="D221" i="1"/>
  <c r="M220" i="1"/>
  <c r="C220" i="1" s="1"/>
  <c r="M221" i="1" l="1"/>
  <c r="C221" i="1" s="1"/>
  <c r="D222" i="1"/>
  <c r="D194" i="1"/>
  <c r="M193" i="1"/>
  <c r="S238" i="1"/>
  <c r="S239" i="1" s="1"/>
  <c r="S240" i="1" s="1"/>
  <c r="S241" i="1" s="1"/>
  <c r="S242" i="1" s="1"/>
  <c r="S243" i="1" s="1"/>
  <c r="S244" i="1" s="1"/>
  <c r="S245" i="1" s="1"/>
  <c r="D238" i="1"/>
  <c r="D215" i="1"/>
  <c r="M214" i="1"/>
  <c r="C214" i="1" s="1"/>
  <c r="D233" i="1"/>
  <c r="M232" i="1"/>
  <c r="C232" i="1" s="1"/>
  <c r="M163" i="1"/>
  <c r="D164" i="1"/>
  <c r="M215" i="1" l="1"/>
  <c r="D216" i="1"/>
  <c r="M216" i="1" s="1"/>
  <c r="M233" i="1"/>
  <c r="C233" i="1" s="1"/>
  <c r="D234" i="1"/>
  <c r="M238" i="1"/>
  <c r="C238" i="1" s="1"/>
  <c r="D239" i="1"/>
  <c r="D223" i="1"/>
  <c r="M222" i="1"/>
  <c r="M164" i="1"/>
  <c r="D165" i="1"/>
  <c r="S246" i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D246" i="1"/>
  <c r="M194" i="1"/>
  <c r="D195" i="1"/>
  <c r="M195" i="1" l="1"/>
  <c r="C195" i="1" s="1"/>
  <c r="D196" i="1"/>
  <c r="D240" i="1"/>
  <c r="M239" i="1"/>
  <c r="C239" i="1" s="1"/>
  <c r="M246" i="1"/>
  <c r="C246" i="1" s="1"/>
  <c r="D247" i="1"/>
  <c r="M165" i="1"/>
  <c r="D166" i="1"/>
  <c r="S259" i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D259" i="1"/>
  <c r="D224" i="1"/>
  <c r="M223" i="1"/>
  <c r="D235" i="1"/>
  <c r="M234" i="1"/>
  <c r="C234" i="1" s="1"/>
  <c r="D260" i="1" l="1"/>
  <c r="M259" i="1"/>
  <c r="C259" i="1" s="1"/>
  <c r="S270" i="1"/>
  <c r="S271" i="1" s="1"/>
  <c r="S272" i="1" s="1"/>
  <c r="D270" i="1"/>
  <c r="M247" i="1"/>
  <c r="C247" i="1" s="1"/>
  <c r="D248" i="1"/>
  <c r="D197" i="1"/>
  <c r="M196" i="1"/>
  <c r="C196" i="1" s="1"/>
  <c r="D236" i="1"/>
  <c r="M236" i="1" s="1"/>
  <c r="C236" i="1" s="1"/>
  <c r="M235" i="1"/>
  <c r="M224" i="1"/>
  <c r="D225" i="1"/>
  <c r="D167" i="1"/>
  <c r="M166" i="1"/>
  <c r="M240" i="1"/>
  <c r="C240" i="1" s="1"/>
  <c r="D241" i="1"/>
  <c r="M241" i="1" l="1"/>
  <c r="C241" i="1" s="1"/>
  <c r="D242" i="1"/>
  <c r="D168" i="1"/>
  <c r="M167" i="1"/>
  <c r="D226" i="1"/>
  <c r="M225" i="1"/>
  <c r="D198" i="1"/>
  <c r="M197" i="1"/>
  <c r="M248" i="1"/>
  <c r="C248" i="1" s="1"/>
  <c r="D249" i="1"/>
  <c r="D271" i="1"/>
  <c r="M271" i="1" s="1"/>
  <c r="C271" i="1" s="1"/>
  <c r="M270" i="1"/>
  <c r="C270" i="1" s="1"/>
  <c r="S273" i="1"/>
  <c r="S274" i="1" s="1"/>
  <c r="D273" i="1"/>
  <c r="M273" i="1" s="1"/>
  <c r="C273" i="1" s="1"/>
  <c r="M260" i="1"/>
  <c r="C260" i="1" s="1"/>
  <c r="D261" i="1"/>
  <c r="M261" i="1" l="1"/>
  <c r="C261" i="1" s="1"/>
  <c r="D262" i="1"/>
  <c r="M198" i="1"/>
  <c r="D199" i="1"/>
  <c r="D243" i="1"/>
  <c r="M243" i="1" s="1"/>
  <c r="C243" i="1" s="1"/>
  <c r="M242" i="1"/>
  <c r="C242" i="1" s="1"/>
  <c r="S275" i="1"/>
  <c r="S276" i="1" s="1"/>
  <c r="S277" i="1" s="1"/>
  <c r="S278" i="1" s="1"/>
  <c r="D250" i="1"/>
  <c r="M249" i="1"/>
  <c r="C249" i="1" s="1"/>
  <c r="M226" i="1"/>
  <c r="D227" i="1"/>
  <c r="D169" i="1"/>
  <c r="M169" i="1" s="1"/>
  <c r="M168" i="1"/>
  <c r="M227" i="1" l="1"/>
  <c r="D228" i="1"/>
  <c r="S279" i="1"/>
  <c r="S280" i="1" s="1"/>
  <c r="D275" i="1"/>
  <c r="M199" i="1"/>
  <c r="D200" i="1"/>
  <c r="D251" i="1"/>
  <c r="M250" i="1"/>
  <c r="M262" i="1"/>
  <c r="C262" i="1" s="1"/>
  <c r="D263" i="1"/>
  <c r="M275" i="1" l="1"/>
  <c r="C275" i="1" s="1"/>
  <c r="D276" i="1"/>
  <c r="S281" i="1"/>
  <c r="S282" i="1" s="1"/>
  <c r="S283" i="1" s="1"/>
  <c r="D281" i="1"/>
  <c r="D264" i="1"/>
  <c r="M263" i="1"/>
  <c r="C263" i="1" s="1"/>
  <c r="D252" i="1"/>
  <c r="M251" i="1"/>
  <c r="D201" i="1"/>
  <c r="M200" i="1"/>
  <c r="D279" i="1"/>
  <c r="M279" i="1" s="1"/>
  <c r="C279" i="1" s="1"/>
  <c r="D229" i="1"/>
  <c r="M228" i="1"/>
  <c r="D230" i="1" l="1"/>
  <c r="M230" i="1" s="1"/>
  <c r="C230" i="1" s="1"/>
  <c r="M229" i="1"/>
  <c r="C229" i="1" s="1"/>
  <c r="D265" i="1"/>
  <c r="M264" i="1"/>
  <c r="D277" i="1"/>
  <c r="M277" i="1" s="1"/>
  <c r="C277" i="1" s="1"/>
  <c r="M276" i="1"/>
  <c r="C276" i="1" s="1"/>
  <c r="M201" i="1"/>
  <c r="D202" i="1"/>
  <c r="M252" i="1"/>
  <c r="C252" i="1" s="1"/>
  <c r="D253" i="1"/>
  <c r="D282" i="1"/>
  <c r="M282" i="1" s="1"/>
  <c r="C282" i="1" s="1"/>
  <c r="M281" i="1"/>
  <c r="C281" i="1" s="1"/>
  <c r="D284" i="1"/>
  <c r="S284" i="1"/>
  <c r="S285" i="1" s="1"/>
  <c r="S286" i="1" s="1"/>
  <c r="S287" i="1" s="1"/>
  <c r="M284" i="1" l="1"/>
  <c r="C284" i="1" s="1"/>
  <c r="D285" i="1"/>
  <c r="M285" i="1" s="1"/>
  <c r="C285" i="1" s="1"/>
  <c r="M265" i="1"/>
  <c r="C265" i="1" s="1"/>
  <c r="D266" i="1"/>
  <c r="D203" i="1"/>
  <c r="M202" i="1"/>
  <c r="S288" i="1"/>
  <c r="S289" i="1" s="1"/>
  <c r="S290" i="1" s="1"/>
  <c r="S291" i="1" s="1"/>
  <c r="D288" i="1"/>
  <c r="D254" i="1"/>
  <c r="M253" i="1"/>
  <c r="C253" i="1" s="1"/>
  <c r="D292" i="1" l="1"/>
  <c r="S292" i="1"/>
  <c r="S293" i="1" s="1"/>
  <c r="S294" i="1" s="1"/>
  <c r="S295" i="1" s="1"/>
  <c r="S296" i="1" s="1"/>
  <c r="D204" i="1"/>
  <c r="M203" i="1"/>
  <c r="M288" i="1"/>
  <c r="C288" i="1" s="1"/>
  <c r="D289" i="1"/>
  <c r="M254" i="1"/>
  <c r="D255" i="1"/>
  <c r="D267" i="1"/>
  <c r="M266" i="1"/>
  <c r="C266" i="1" s="1"/>
  <c r="D256" i="1" l="1"/>
  <c r="M255" i="1"/>
  <c r="C255" i="1" s="1"/>
  <c r="M267" i="1"/>
  <c r="C267" i="1" s="1"/>
  <c r="D268" i="1"/>
  <c r="M268" i="1" s="1"/>
  <c r="C268" i="1" s="1"/>
  <c r="M204" i="1"/>
  <c r="D205" i="1"/>
  <c r="D290" i="1"/>
  <c r="M290" i="1" s="1"/>
  <c r="C290" i="1" s="1"/>
  <c r="M289" i="1"/>
  <c r="C289" i="1" s="1"/>
  <c r="S297" i="1"/>
  <c r="S298" i="1" s="1"/>
  <c r="M292" i="1"/>
  <c r="C292" i="1" s="1"/>
  <c r="D293" i="1"/>
  <c r="D294" i="1" l="1"/>
  <c r="M294" i="1" s="1"/>
  <c r="C294" i="1" s="1"/>
  <c r="M293" i="1"/>
  <c r="C293" i="1" s="1"/>
  <c r="S299" i="1"/>
  <c r="S300" i="1" s="1"/>
  <c r="D299" i="1"/>
  <c r="M299" i="1" s="1"/>
  <c r="C299" i="1" s="1"/>
  <c r="D297" i="1"/>
  <c r="M297" i="1" s="1"/>
  <c r="C297" i="1" s="1"/>
  <c r="D206" i="1"/>
  <c r="M206" i="1" s="1"/>
  <c r="C206" i="1" s="1"/>
  <c r="M205" i="1"/>
  <c r="C205" i="1" s="1"/>
  <c r="M256" i="1"/>
  <c r="C256" i="1" s="1"/>
  <c r="D257" i="1"/>
  <c r="M257" i="1" s="1"/>
  <c r="C257" i="1" s="1"/>
  <c r="S301" i="1" l="1"/>
  <c r="S302" i="1" s="1"/>
  <c r="S303" i="1" s="1"/>
  <c r="D301" i="1"/>
  <c r="M301" i="1" l="1"/>
  <c r="D302" i="1"/>
  <c r="M302" i="1" s="1"/>
  <c r="C302" i="1" s="1"/>
  <c r="S304" i="1"/>
  <c r="S305" i="1" s="1"/>
  <c r="S306" i="1" s="1"/>
  <c r="S307" i="1" l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D307" i="1"/>
  <c r="D304" i="1"/>
  <c r="M307" i="1" l="1"/>
  <c r="C307" i="1" s="1"/>
  <c r="D308" i="1"/>
  <c r="M304" i="1"/>
  <c r="C304" i="1" s="1"/>
  <c r="D305" i="1"/>
  <c r="M305" i="1" s="1"/>
  <c r="C305" i="1" s="1"/>
  <c r="S320" i="1"/>
  <c r="S321" i="1" s="1"/>
  <c r="D320" i="1"/>
  <c r="M320" i="1" s="1"/>
  <c r="C320" i="1" s="1"/>
  <c r="S322" i="1" l="1"/>
  <c r="S323" i="1" s="1"/>
  <c r="S324" i="1" s="1"/>
  <c r="S325" i="1" s="1"/>
  <c r="M308" i="1"/>
  <c r="C308" i="1" s="1"/>
  <c r="D309" i="1"/>
  <c r="D310" i="1" l="1"/>
  <c r="M309" i="1"/>
  <c r="C309" i="1" s="1"/>
  <c r="S326" i="1"/>
  <c r="S327" i="1" s="1"/>
  <c r="S328" i="1" s="1"/>
  <c r="S329" i="1" s="1"/>
  <c r="D326" i="1"/>
  <c r="D322" i="1"/>
  <c r="S330" i="1" l="1"/>
  <c r="S331" i="1" s="1"/>
  <c r="S332" i="1" s="1"/>
  <c r="S333" i="1" s="1"/>
  <c r="S334" i="1" s="1"/>
  <c r="S335" i="1" s="1"/>
  <c r="D330" i="1"/>
  <c r="M326" i="1"/>
  <c r="C326" i="1" s="1"/>
  <c r="D327" i="1"/>
  <c r="M327" i="1" s="1"/>
  <c r="C327" i="1" s="1"/>
  <c r="M322" i="1"/>
  <c r="C322" i="1" s="1"/>
  <c r="D323" i="1"/>
  <c r="M323" i="1" s="1"/>
  <c r="C323" i="1" s="1"/>
  <c r="D311" i="1"/>
  <c r="M310" i="1"/>
  <c r="C310" i="1" s="1"/>
  <c r="M311" i="1" l="1"/>
  <c r="C311" i="1" s="1"/>
  <c r="D312" i="1"/>
  <c r="M330" i="1"/>
  <c r="C330" i="1" s="1"/>
  <c r="D331" i="1"/>
  <c r="S336" i="1"/>
  <c r="S337" i="1" s="1"/>
  <c r="D336" i="1"/>
  <c r="M336" i="1" s="1"/>
  <c r="C336" i="1" s="1"/>
  <c r="D332" i="1" l="1"/>
  <c r="M331" i="1"/>
  <c r="M312" i="1"/>
  <c r="D313" i="1"/>
  <c r="S338" i="1"/>
  <c r="S339" i="1" s="1"/>
  <c r="S340" i="1" s="1"/>
  <c r="D338" i="1"/>
  <c r="M338" i="1" s="1"/>
  <c r="C338" i="1" s="1"/>
  <c r="D314" i="1" l="1"/>
  <c r="M313" i="1"/>
  <c r="C313" i="1" s="1"/>
  <c r="S341" i="1"/>
  <c r="S342" i="1" s="1"/>
  <c r="D341" i="1"/>
  <c r="M332" i="1"/>
  <c r="D333" i="1"/>
  <c r="D334" i="1" l="1"/>
  <c r="M334" i="1" s="1"/>
  <c r="C334" i="1" s="1"/>
  <c r="M333" i="1"/>
  <c r="M341" i="1"/>
  <c r="C341" i="1" s="1"/>
  <c r="D342" i="1"/>
  <c r="M314" i="1"/>
  <c r="C314" i="1" s="1"/>
  <c r="D315" i="1"/>
  <c r="D316" i="1" l="1"/>
  <c r="M315" i="1"/>
  <c r="C315" i="1" s="1"/>
  <c r="M342" i="1"/>
  <c r="C342" i="1" s="1"/>
  <c r="D167" i="6"/>
  <c r="D181" i="6"/>
  <c r="D107" i="6"/>
  <c r="D95" i="6"/>
  <c r="D138" i="6"/>
  <c r="D126" i="6"/>
  <c r="D146" i="6"/>
  <c r="D170" i="6"/>
  <c r="D101" i="6"/>
  <c r="D176" i="6"/>
  <c r="D114" i="6"/>
  <c r="D182" i="6"/>
  <c r="D185" i="6"/>
  <c r="D141" i="6"/>
  <c r="D125" i="6"/>
  <c r="D150" i="6"/>
  <c r="D128" i="6"/>
  <c r="D139" i="6"/>
  <c r="D105" i="6"/>
  <c r="D127" i="6"/>
  <c r="D160" i="6"/>
  <c r="D149" i="6"/>
  <c r="D117" i="6"/>
  <c r="D119" i="6"/>
  <c r="D177" i="6"/>
  <c r="D97" i="6"/>
  <c r="D145" i="6"/>
  <c r="D153" i="6"/>
  <c r="D131" i="6"/>
  <c r="D135" i="6"/>
  <c r="D164" i="6"/>
  <c r="D112" i="6"/>
  <c r="D180" i="6"/>
  <c r="D163" i="6"/>
  <c r="D154" i="6"/>
  <c r="D103" i="6"/>
  <c r="D159" i="6"/>
  <c r="D148" i="6"/>
  <c r="D187" i="6"/>
  <c r="D171" i="6"/>
  <c r="D98" i="6"/>
  <c r="D102" i="6"/>
  <c r="D136" i="6"/>
  <c r="D91" i="6"/>
  <c r="D110" i="6"/>
  <c r="D142" i="6"/>
  <c r="D143" i="6"/>
  <c r="D122" i="6"/>
  <c r="D184" i="6"/>
  <c r="D157" i="6"/>
  <c r="D158" i="6"/>
  <c r="D144" i="6"/>
  <c r="D132" i="6"/>
  <c r="D162" i="6"/>
  <c r="D111" i="6"/>
  <c r="D133" i="6"/>
  <c r="D92" i="6"/>
  <c r="D168" i="6"/>
  <c r="D108" i="6"/>
  <c r="D130" i="6"/>
  <c r="D129" i="6"/>
  <c r="D118" i="6"/>
  <c r="D140" i="6"/>
  <c r="D179" i="6"/>
  <c r="D109" i="6"/>
  <c r="D99" i="6"/>
  <c r="D113" i="6"/>
  <c r="D104" i="6"/>
  <c r="D169" i="6"/>
  <c r="D137" i="6"/>
  <c r="D155" i="6"/>
  <c r="D178" i="6"/>
  <c r="D166" i="6"/>
  <c r="D106" i="6"/>
  <c r="D183" i="6"/>
  <c r="D147" i="6"/>
  <c r="D134" i="6"/>
  <c r="D120" i="6"/>
  <c r="D115" i="6"/>
  <c r="D94" i="6"/>
  <c r="D121" i="6"/>
  <c r="D161" i="6"/>
  <c r="D174" i="6"/>
  <c r="M316" i="1" l="1"/>
  <c r="C316" i="1" s="1"/>
  <c r="D317" i="1"/>
  <c r="M317" i="1" l="1"/>
  <c r="C317" i="1" s="1"/>
  <c r="D318" i="1"/>
  <c r="M318" i="1" s="1"/>
  <c r="C318" i="1" s="1"/>
  <c r="D7" i="6" s="1"/>
  <c r="D124" i="6"/>
  <c r="D22" i="6"/>
  <c r="D190" i="6"/>
  <c r="D86" i="6"/>
  <c r="D151" i="6"/>
  <c r="D100" i="6"/>
  <c r="D61" i="6"/>
  <c r="D197" i="6"/>
  <c r="D156" i="6"/>
  <c r="D67" i="6"/>
  <c r="D165" i="6"/>
  <c r="D116" i="6"/>
  <c r="D199" i="6"/>
  <c r="D175" i="6"/>
  <c r="D84" i="6"/>
  <c r="D83" i="6"/>
  <c r="D189" i="6"/>
  <c r="D188" i="6"/>
  <c r="D196" i="6"/>
  <c r="D66" i="6"/>
  <c r="D152" i="6"/>
  <c r="D173" i="6"/>
  <c r="D192" i="6"/>
  <c r="D195" i="6"/>
  <c r="D194" i="6"/>
  <c r="D69" i="6"/>
  <c r="D172" i="6"/>
  <c r="D186" i="6"/>
  <c r="D3" i="6"/>
  <c r="D191" i="6"/>
  <c r="D193" i="6"/>
  <c r="D49" i="6"/>
  <c r="D93" i="6"/>
  <c r="D198" i="6"/>
  <c r="D96" i="6"/>
  <c r="D12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2C77F-7706-4BEE-B25F-49F48D73DEF7}" keepAlive="1" name="Query - OL-JOC - DOI details-from-figshare com" description="Connection to the 'OL-JOC - DOI details-from-figshare com' query in the workbook." type="5" refreshedVersion="0" background="1">
    <dbPr connection="Provider=Microsoft.Mashup.OleDb.1;Data Source=$Workbook$;Location=&quot;OL-JOC - DOI details-from-figshare com&quot;;Extended Properties=&quot;&quot;" command="SELECT * FROM [OL-JOC - DOI details-from-figshare com]"/>
  </connection>
  <connection id="2" xr16:uid="{9E129398-7184-4029-8149-A409C8D7B5C7}" keepAlive="1" name="Query - OL-JOC - DOI details-from-figshare com (2)" description="Connection to the 'OL-JOC - DOI details-from-figshare com (2)' query in the workbook." type="5" refreshedVersion="8" background="1" saveData="1">
    <dbPr connection="Provider=Microsoft.Mashup.OleDb.1;Data Source=$Workbook$;Location=&quot;OL-JOC - DOI details-from-figshare com (2)&quot;;Extended Properties=&quot;&quot;" command="SELECT * FROM [OL-JOC - DOI details-from-figshare com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<sst xmlns="http://schemas.openxmlformats.org/spreadsheetml/2006/main" count="3941" uniqueCount="2307">
  <si>
    <t>SI DOI</t>
  </si>
  <si>
    <t>Aticle Title</t>
  </si>
  <si>
    <t>https://acs.figshare.com/articles/dataset/Fe-BPsalan_Complex-Catalyzed_Asymmetric_1_3-Dipolar_3_2_Cycloaddition_of_Nitrones_with_-Unsaturated_Acyl_Imidazoles/30978807</t>
  </si>
  <si>
    <t>https://doi.org/10.1021/acs.joc.5c02152.s002</t>
  </si>
  <si>
    <t>https://doi.org/10.1021/acs.joc.5c02152</t>
  </si>
  <si>
    <t>https://acs.figshare.com/articles/dataset/Fe-BPsalan_Complex-Catalyzed_Asymmetric_1_3-Dipolar_3_2_Cycloaddition_of_Nitrones_with_-Unsaturated_Acyl_Imidazoles/30978804</t>
  </si>
  <si>
    <t>https://doi.org/10.1021/acs.joc.5c02152.s001</t>
  </si>
  <si>
    <t>https://acs.figshare.com/articles/dataset/Access_to_Alkylative_Hydrodefluorination_of_Trifluoromethyl_Ketones_Using_Photoexcited_Dihydropyridines/30977058</t>
  </si>
  <si>
    <t>https://doi.org/10.1021/acs.orglett.5c04969.s001</t>
  </si>
  <si>
    <t>Access to Alkylative/Hydrodefluorination of Trifluoromethyl Ketones Using Photoexcited Dihydropyridines</t>
  </si>
  <si>
    <t>https://doi.org/10.1021/acs.orglett.5c04969</t>
  </si>
  <si>
    <t>https://acs.figshare.com/articles/dataset/Palladium-Catalyzed_3_2_Annulation_of_o_Bromobenzyl_Cyanide_with_Norbornene_Derivatives_via_C_sp_sup_3_sup_H_Bond_Activation_to_Yield_1_Cyanoindane/30969076</t>
  </si>
  <si>
    <t>https://doi.org/10.1021/acs.joc.5c02221.s006</t>
  </si>
  <si>
    <t>https://doi.org/10.1021/acs.joc.5c02221</t>
  </si>
  <si>
    <t>https://acs.figshare.com/articles/dataset/Palladium-Catalyzed_3_2_Annulation_of_o_Bromobenzyl_Cyanide_with_Norbornene_Derivatives_via_C_sp_sup_3_sup_H_Bond_Activation_to_Yield_1_Cyanoindane/30969073</t>
  </si>
  <si>
    <t>https://doi.org/10.1021/acs.joc.5c02221.s005</t>
  </si>
  <si>
    <t>https://acs.figshare.com/articles/dataset/Palladium-Catalyzed_3_2_Annulation_of_o_Bromobenzyl_Cyanide_with_Norbornene_Derivatives_via_C_sp_sup_3_sup_H_Bond_Activation_to_Yield_1_Cyanoindane/30969070</t>
  </si>
  <si>
    <t>https://doi.org/10.1021/acs.joc.5c02221.s004</t>
  </si>
  <si>
    <t>https://acs.figshare.com/articles/dataset/Palladium-Catalyzed_3_2_Annulation_of_o_Bromobenzyl_Cyanide_with_Norbornene_Derivatives_via_C_sp_sup_3_sup_H_Bond_Activation_to_Yield_1_Cyanoindane/30969067</t>
  </si>
  <si>
    <t>https://doi.org/10.1021/acs.joc.5c02221.s003</t>
  </si>
  <si>
    <t>https://acs.figshare.com/articles/dataset/Palladium-Catalyzed_3_2_Annulation_of_o_Bromobenzyl_Cyanide_with_Norbornene_Derivatives_via_C_sp_sup_3_sup_H_Bond_Activation_to_Yield_1_Cyanoindane/30969064</t>
  </si>
  <si>
    <t>https://doi.org/10.1021/acs.joc.5c02221.s002</t>
  </si>
  <si>
    <t>https://acs.figshare.com/articles/dataset/Sequential_Ni-Catalyzed_Cross-Coupling_and_Ru-Catalyzed_Isomerization_of_E_Z_Alkenyl_Ethers_A_Stereoconvergent_Route_to_Allylsilanes/30962564</t>
  </si>
  <si>
    <t>https://doi.org/10.1021/acs.joc.5c02110.s001</t>
  </si>
  <si>
    <t>Sequential Ni-Catalyzed Cross-Coupling and Ru-Catalyzed Isomerization of E/Z Alkenyl Ethers: A Stereoconvergent Route to Allylsilanes</t>
  </si>
  <si>
    <t>https://doi.org/10.1021/acs.joc.5c02110</t>
  </si>
  <si>
    <t>https://acs.figshare.com/articles/dataset/Triarylboranes_Bearing_ortho-Carboran-1-yl_aryl_Groups_for_Catalytic_Hydrogenation_with_Pure_or_Crude_H_sub_2_sub_/30954135</t>
  </si>
  <si>
    <t>https://doi.org/10.1021/acs.orglett.5c04669.s002</t>
  </si>
  <si>
    <t>Triarylboranes Bearing (ortho-Carboran-1-yl)aryl Groups for Catalytic Hydrogenation with Pure or Crude H2</t>
  </si>
  <si>
    <t>https://doi.org/10.1021/acs.orglett.5c04669</t>
  </si>
  <si>
    <t>https://acs.figshare.com/articles/dataset/Visible-Light-Induced_Amination_of_Pyridylphosphonium_Salts_Synthesis_of_Heteroarylamines_via_Radical_Radical_Coupling/30946644</t>
  </si>
  <si>
    <t>https://doi.org/10.1021/acs.joc.5c02653.s001</t>
  </si>
  <si>
    <t>https://doi.org/10.1021/acs.joc.5c02653</t>
  </si>
  <si>
    <t>https://acs.figshare.com/articles/dataset/Synthesis_of_Carborane-Fused_Lactones_via_Electrochemical_C_sp_sup_3_sup_H_Lactonization_Access_to_Benzofused_Lactone_Bioisosteres/30946290</t>
  </si>
  <si>
    <t>https://doi.org/10.1021/acs.orglett.5c04750.s002</t>
  </si>
  <si>
    <t>https://doi.org/10.1021/acs.orglett.5c04750</t>
  </si>
  <si>
    <t>https://acs.figshare.com/articles/dataset/Enantioselective_Organocatalytic_Desymmetric_Acylation_as_an_Access_to_Orthogonally_Protected_myo-Inositols/30938828</t>
  </si>
  <si>
    <t>https://doi.org/10.1021/acs.joc.5c02735.s002</t>
  </si>
  <si>
    <t>Enantioselective Organocatalytic Desymmetric Acylation as an Access to Orthogonally Protected myo-Inositols</t>
  </si>
  <si>
    <t>https://doi.org/10.1021/acs.joc.5c02735</t>
  </si>
  <si>
    <t>https://acs.figshare.com/articles/dataset/Synthesis_of_Quinolizidine-Based_1_4-Azaphosphinines_via_Cyclization_of_Heteroarylmethyl_alkynyl_phosphinates/30938143</t>
  </si>
  <si>
    <t>https://doi.org/10.1021/acs.joc.5c02870.s002</t>
  </si>
  <si>
    <t>Synthesis of Quinolizidine-Based 1,4-Azaphosphinines via Cyclization of Heteroarylmethyl(alkynyl)phosphinates</t>
  </si>
  <si>
    <t>https://doi.org/10.1021/acs.joc.5c02870</t>
  </si>
  <si>
    <t>https://acs.figshare.com/articles/dataset/A_Concise_Approach_to_Enantioselective_Synthesis_of_Euolutchuols_A_B_and_D_and_Their_Structure_Assignment/30936764</t>
  </si>
  <si>
    <t>https://doi.org/10.1021/acs.joc.5c02500.s001</t>
  </si>
  <si>
    <t>A Concise Approach to Enantioselective Synthesis of Euolutchuols A, B, and D and Their Structure Assignment</t>
  </si>
  <si>
    <t>https://doi.org/10.1021/acs.joc.5c02500</t>
  </si>
  <si>
    <t>https://acs.figshare.com/articles/dataset/Chemoselective_Synthesis_of_Fluorinated_1_3-Thiazines_via_Sonication-Assisted_3_3_Annulation_of_Thioamides_and_CF_sub_3_sub_Styrene/30927475</t>
  </si>
  <si>
    <t>https://doi.org/10.1021/acs.joc.5c02383.s001</t>
  </si>
  <si>
    <t>https://doi.org/10.1021/acs.joc.5c02383</t>
  </si>
  <si>
    <t>https://acs.figshare.com/articles/dataset/Visible-Light-Promoted_Catalytic_Redox-Neutral_Alkynylation_of_Alkyl_Boronic_Acids_Boronates/30918129</t>
  </si>
  <si>
    <t>https://doi.org/10.1021/acs.orglett.5c04403.s001</t>
  </si>
  <si>
    <t>Visible-Light-Promoted Catalytic Redox-Neutral Alkynylation of Alkyl Boronic Acids/Boronates</t>
  </si>
  <si>
    <t>https://doi.org/10.1021/acs.orglett.5c04403</t>
  </si>
  <si>
    <t>https://acs.figshare.com/articles/dataset/Benzo_1_2_3_thiadiazole_as_an_Attractive_Heteroaromatic_Platform_for_Two-Photon_Absorbing_TPA_Fluorophores_TPA_Enhancement_in_Quasi-Quadrupolar_S_N-Heteroarene-Cored_Dyes_via_Skeletal_Editing_and_Regioisomeric_Control/30906460</t>
  </si>
  <si>
    <t>https://doi.org/10.1021/acs.joc.5c02414.s002</t>
  </si>
  <si>
    <t>Benzo[1,2,3]thiadiazole as an Attractive Heteroaromatic Platform for Two-Photon Absorbing (TPA) Fluorophores: TPA Enhancement in Quasi-Quadrupolar S,N-Heteroarene-Cored Dyes via Skeletal Editing and Regioisomeric Control</t>
  </si>
  <si>
    <t>https://doi.org/10.1021/acs.joc.5c02414</t>
  </si>
  <si>
    <t>https://acs.figshare.com/articles/dataset/Synthesis_of_2_i_S_i_4_i_S_i_5_5_5_5_5_-Pentafluoroleucine_and_2_i_S_i_4_i_R_i_5_5_5-Trifluoroleucine_via_Stereoselective_Hydrogenation_and_Hydrodefluorination/30906064</t>
  </si>
  <si>
    <t>https://doi.org/10.1021/acs.joc.5c02700.s002</t>
  </si>
  <si>
    <t>https://doi.org/10.1021/acs.joc.5c02700</t>
  </si>
  <si>
    <t>https://acs.figshare.com/articles/dataset/Twisting_BN-Acenes_A_Computational_Study/30877284</t>
  </si>
  <si>
    <t>https://doi.org/10.1021/acs.joc.5c01910.s001</t>
  </si>
  <si>
    <t>Twisting BN-Acenes: A Computational Study</t>
  </si>
  <si>
    <t>https://doi.org/10.1021/acs.joc.5c01910</t>
  </si>
  <si>
    <t>https://acs.figshare.com/articles/dataset/Total_Synthesis_and_Biological_Evaluation_of_Asterriquinol_D_Dimethyl_Ether_Candidusin_D_Kumbicins_A_B_and_Petromurins_C_D_as_Glucosidase_Inhibitors/30871911</t>
  </si>
  <si>
    <t>https://doi.org/10.1021/acs.joc.5c02577.s003</t>
  </si>
  <si>
    <t>https://doi.org/10.1021/acs.joc.5c02577</t>
  </si>
  <si>
    <t>https://acs.figshare.com/articles/dataset/Total_Synthesis_and_Biological_Evaluation_of_Asterriquinol_D_Dimethyl_Ether_Candidusin_D_Kumbicins_A_B_and_Petromurins_C_D_as_Glucosidase_Inhibitors/30871908</t>
  </si>
  <si>
    <t>https://doi.org/10.1021/acs.joc.5c02577.s002</t>
  </si>
  <si>
    <t>https://acs.figshare.com/articles/dataset/Total_Synthesis_and_Biological_Evaluation_of_Asterriquinol_D_Dimethyl_Ether_Candidusin_D_Kumbicins_A_B_and_Petromurins_C_D_as_Glucosidase_Inhibitors/30871905</t>
  </si>
  <si>
    <t>https://doi.org/10.1021/acs.joc.5c02577.s001</t>
  </si>
  <si>
    <t>https://acs.figshare.com/articles/dataset/Pd-_and_Cu-Cocatalyzed_Anaerobic_Olefin_Aminoboration/30866803</t>
  </si>
  <si>
    <t>https://doi.org/10.1021/acs.joc.5c02524.s002</t>
  </si>
  <si>
    <t>Pd- and Cu-Cocatalyzed Anaerobic Olefin Aminoboration</t>
  </si>
  <si>
    <t>https://doi.org/10.1021/acs.joc.5c02524</t>
  </si>
  <si>
    <t>https://acs.figshare.com/articles/dataset/Catalyst-Free_C_N_Coupling_under_Ambient_Conditions_via_High-Throughput_Microdroplet_Reactions/30861758</t>
  </si>
  <si>
    <t>https://doi.org/10.1021/acs.joc.5c02022.s002</t>
  </si>
  <si>
    <t>https://doi.org/10.1021/acs.joc.5c02022</t>
  </si>
  <si>
    <t>https://acs.figshare.com/articles/dataset/Heterocyclic_Tridentate_Ligands_for_Effective_Alkyne_Metathesis/30858225</t>
  </si>
  <si>
    <t>https://doi.org/10.1021/acs.orglett.5c04292.s002</t>
  </si>
  <si>
    <t>Heterocyclic Tridentate Ligands for Effective Alkyne Metathesis</t>
  </si>
  <si>
    <t>https://doi.org/10.1021/acs.orglett.5c04292</t>
  </si>
  <si>
    <t>https://acs.figshare.com/articles/dataset/Photoredox_Nickel_Dual-Catalyzed_Asymmetric_C_Alkylation_of_Nitroalkanes_with_Bromoketones/30826633</t>
  </si>
  <si>
    <t>https://doi.org/10.1021/acs.orglett.5c04507.s002</t>
  </si>
  <si>
    <t>https://doi.org/10.1021/acs.orglett.5c04507</t>
  </si>
  <si>
    <t>https://acs.figshare.com/articles/dataset/Cosolvent_Effects_Question_the_Role_of_Water_in_Native_Chemical_Ligation/30820209</t>
  </si>
  <si>
    <t>https://doi.org/10.1021/acs.orglett.5c04570.s002</t>
  </si>
  <si>
    <t>Cosolvent Effects Question the Role of Water in Native Chemical Ligation</t>
  </si>
  <si>
    <t>https://doi.org/10.1021/acs.orglett.5c04570</t>
  </si>
  <si>
    <t>https://acs.figshare.com/articles/dataset/C_H_N_H_Annulation_of_i_N_i_Aryl_Triazolinediones_with_Diazo_Compounds_A_Route_to_Cinnoline_Analogues/30801271</t>
  </si>
  <si>
    <t>https://doi.org/10.1021/acs.joc.5c02497.s001</t>
  </si>
  <si>
    <t>https://doi.org/10.1021/acs.joc.5c02497</t>
  </si>
  <si>
    <t>https://acs.figshare.com/articles/dataset/Synthesis_of_Benzarsoles_by_Arsenic_Cation-Mediated_Formal_3_2_-Cycloaddition_with_Alkynes/30796264</t>
  </si>
  <si>
    <t>https://doi.org/10.1021/acs.orglett.5c04431.s002</t>
  </si>
  <si>
    <t>Synthesis of Benzarsoles by Arsenic Cation-Mediated Formal [3 + 2]-Cycloaddition with Alkynes</t>
  </si>
  <si>
    <t>https://doi.org/10.1021/acs.orglett.5c04431</t>
  </si>
  <si>
    <t>https://acs.figshare.com/articles/dataset/Computational_Study_on_Data_Integration_in_Chiral_Catalyst_Design_A_Case_Study_Using_Michael_Addition_Reactions/30773377</t>
  </si>
  <si>
    <t>https://doi.org/10.1021/acs.joc.5c02438.s003</t>
  </si>
  <si>
    <t>Computational Study on Data Integration in Chiral Catalyst Design: A Case Study Using Michael Addition Reactions</t>
  </si>
  <si>
    <t>https://doi.org/10.1021/acs.joc.5c02438</t>
  </si>
  <si>
    <t>https://acs.figshare.com/articles/dataset/Computational_Study_on_Data_Integration_in_Chiral_Catalyst_Design_A_Case_Study_Using_Michael_Addition_Reactions/30773374</t>
  </si>
  <si>
    <t>https://doi.org/10.1021/acs.joc.5c02438.s002</t>
  </si>
  <si>
    <t>https://acs.figshare.com/articles/dataset/Anion-Assisted_Glycosylation_of_Galactose_A_Computational_Study/30773087</t>
  </si>
  <si>
    <t>https://doi.org/10.1021/acs.joc.5c02404.s002</t>
  </si>
  <si>
    <t>Anion-Assisted Glycosylation of Galactose: A Computational Study</t>
  </si>
  <si>
    <t>https://doi.org/10.1021/acs.joc.5c02404</t>
  </si>
  <si>
    <t>https://acs.figshare.com/articles/dataset/Furan_Oxidation-Cyclization_to_Oxazepines_Favoring_i_7_exo-trig_i_over_i_6_endo-trig_i_and_i_5_exo-trig_i_Trajectories/30739028</t>
  </si>
  <si>
    <t>https://doi.org/10.1021/acs.orglett.5c03626.s002</t>
  </si>
  <si>
    <t>https://doi.org/10.1021/acs.orglett.5c03626</t>
  </si>
  <si>
    <t>https://acs.figshare.com/articles/dataset/Characteristic_Flavaglines_with_Therapeutic_Potential_for_Ischemic_Stroke_from_i_Aglaia_perviridis_i_/30715343</t>
  </si>
  <si>
    <t>https://doi.org/10.1021/acs.joc.5c02308.s009</t>
  </si>
  <si>
    <t>Characteristic Flavaglines with Therapeutic Potential for Ischemic Stroke from Aglaia perviridis</t>
  </si>
  <si>
    <t>https://doi.org/10.1021/acs.joc.5c02308</t>
  </si>
  <si>
    <t>https://acs.figshare.com/articles/dataset/Characteristic_Flavaglines_with_Therapeutic_Potential_for_Ischemic_Stroke_from_i_Aglaia_perviridis_i_/30715340</t>
  </si>
  <si>
    <t>https://doi.org/10.1021/acs.joc.5c02308.s008</t>
  </si>
  <si>
    <t>https://acs.figshare.com/articles/dataset/Characteristic_Flavaglines_with_Therapeutic_Potential_for_Ischemic_Stroke_from_i_Aglaia_perviridis_i_/30715337</t>
  </si>
  <si>
    <t>https://doi.org/10.1021/acs.joc.5c02308.s007</t>
  </si>
  <si>
    <t>https://acs.figshare.com/articles/dataset/Characteristic_Flavaglines_with_Therapeutic_Potential_for_Ischemic_Stroke_from_i_Aglaia_perviridis_i_/30715334</t>
  </si>
  <si>
    <t>https://doi.org/10.1021/acs.joc.5c02308.s006</t>
  </si>
  <si>
    <t>https://acs.figshare.com/articles/dataset/Characteristic_Flavaglines_with_Therapeutic_Potential_for_Ischemic_Stroke_from_i_Aglaia_perviridis_i_/30715331</t>
  </si>
  <si>
    <t>https://doi.org/10.1021/acs.joc.5c02308.s005</t>
  </si>
  <si>
    <t>https://acs.figshare.com/articles/dataset/Characteristic_Flavaglines_with_Therapeutic_Potential_for_Ischemic_Stroke_from_i_Aglaia_perviridis_i_/30715328</t>
  </si>
  <si>
    <t>https://doi.org/10.1021/acs.joc.5c02308.s004</t>
  </si>
  <si>
    <t>https://acs.figshare.com/articles/dataset/Characteristic_Flavaglines_with_Therapeutic_Potential_for_Ischemic_Stroke_from_i_Aglaia_perviridis_i_/30715325</t>
  </si>
  <si>
    <t>https://doi.org/10.1021/acs.joc.5c02308.s003</t>
  </si>
  <si>
    <t>https://acs.figshare.com/articles/dataset/Characteristic_Flavaglines_with_Therapeutic_Potential_for_Ischemic_Stroke_from_i_Aglaia_perviridis_i_/30715322</t>
  </si>
  <si>
    <t>https://doi.org/10.1021/acs.joc.5c02308.s002</t>
  </si>
  <si>
    <t>https://acs.figshare.com/articles/dataset/Characteristic_Flavaglines_with_Therapeutic_Potential_for_Ischemic_Stroke_from_i_Aglaia_perviridis_i_/30715319</t>
  </si>
  <si>
    <t>https://doi.org/10.1021/acs.joc.5c02308.s001</t>
  </si>
  <si>
    <t>https://acs.figshare.com/articles/dataset/Palladium-Catalyzed_Denitrogenative_Suzuki_Coupling_of_Benzothiatriazine_Dioxides_for_Bi_hetero_aryl-2-sulfonamides/30699110</t>
  </si>
  <si>
    <t>https://doi.org/10.1021/acs.joc.5c02305.s002</t>
  </si>
  <si>
    <t>Palladium-Catalyzed Denitrogenative Suzuki Coupling of Benzothiatriazine Dioxides for Bi(hetero)aryl-2-sulfonamides</t>
  </si>
  <si>
    <t>https://doi.org/10.1021/acs.joc.5c02305</t>
  </si>
  <si>
    <t>https://acs.figshare.com/articles/dataset/Pyrene-Bridged_Tetrathienyles_Synthesis_and_Photochromism/30681414</t>
  </si>
  <si>
    <t>https://doi.org/10.1021/acs.joc.5c01688.s001</t>
  </si>
  <si>
    <t>Pyrene-Bridged Tetrathienyles: Synthesis and Photochromism</t>
  </si>
  <si>
    <t>https://doi.org/10.1021/acs.joc.5c01688</t>
  </si>
  <si>
    <t>https://acs.figshare.com/articles/dataset/Regioselective_C_Arylation_of_Functionalized_Nitroalkanes_with_Furan_Thiophene_and_Substituted_Thiophenes/30676114</t>
  </si>
  <si>
    <t>https://doi.org/10.1021/acs.joc.5c02410.s002</t>
  </si>
  <si>
    <t>https://doi.org/10.1021/acs.joc.5c02410</t>
  </si>
  <si>
    <t>https://acs.figshare.com/articles/dataset/Construction_of_Benzothiophene-Fused_1_2_4-Triazocines_via_a_Skeletal_Editing_Strategy_and_DFT_Study_on_the_Reaction_Mechanism/30648622</t>
  </si>
  <si>
    <t>https://doi.org/10.1021/acs.orglett.5c03157.s003</t>
  </si>
  <si>
    <t>Construction of Benzothiophene-Fused 1,2,4-Triazocines via a Skeletal Editing Strategy and DFT Study on the Reaction Mechanism</t>
  </si>
  <si>
    <t>https://doi.org/10.1021/acs.orglett.5c03157</t>
  </si>
  <si>
    <t>https://acs.figshare.com/articles/dataset/Construction_of_Benzothiophene-Fused_1_2_4-Triazocines_via_a_Skeletal_Editing_Strategy_and_DFT_Study_on_the_Reaction_Mechanism/30648619</t>
  </si>
  <si>
    <t>https://doi.org/10.1021/acs.orglett.5c03157.s002</t>
  </si>
  <si>
    <t>https://acs.figshare.com/articles/dataset/Nickel-Catalyzed_Substitution_of_Allylic_Ethers_and_Acetals_with_Organoboroxines_in_the_Presence_of_Pyrimidine/30639496</t>
  </si>
  <si>
    <t>https://doi.org/10.1021/acs.joc.5c02123.s002</t>
  </si>
  <si>
    <t>Nickel-Catalyzed Substitution of Allylic Ethers and Acetals with Organoboroxines in the Presence of Pyrimidine</t>
  </si>
  <si>
    <t>https://doi.org/10.1021/acs.joc.5c02123</t>
  </si>
  <si>
    <t>https://acs.figshare.com/articles/dataset/Copper-Catalyzed_Divergent_C_S_Bond_Cleavage_of_Vinylsulfonium_Salts_Controllable_Phosphoryloxylation_and_Phosphinoylation/30634175</t>
  </si>
  <si>
    <t>https://doi.org/10.1021/acs.orglett.5c04277.s005</t>
  </si>
  <si>
    <t>https://doi.org/10.1021/acs.orglett.5c04277</t>
  </si>
  <si>
    <t>https://acs.figshare.com/articles/dataset/Copper-Catalyzed_Divergent_C_S_Bond_Cleavage_of_Vinylsulfonium_Salts_Controllable_Phosphoryloxylation_and_Phosphinoylation/30634172</t>
  </si>
  <si>
    <t>https://doi.org/10.1021/acs.orglett.5c04277.s004</t>
  </si>
  <si>
    <t>https://acs.figshare.com/articles/dataset/Copper-Catalyzed_Divergent_C_S_Bond_Cleavage_of_Vinylsulfonium_Salts_Controllable_Phosphoryloxylation_and_Phosphinoylation/30634169</t>
  </si>
  <si>
    <t>https://doi.org/10.1021/acs.orglett.5c04277.s003</t>
  </si>
  <si>
    <t>https://acs.figshare.com/articles/dataset/Copper-Catalyzed_Divergent_C_S_Bond_Cleavage_of_Vinylsulfonium_Salts_Controllable_Phosphoryloxylation_and_Phosphinoylation/30634166</t>
  </si>
  <si>
    <t>https://doi.org/10.1021/acs.orglett.5c04277.s002</t>
  </si>
  <si>
    <t>https://acs.figshare.com/articles/dataset/Organophotoredox-Catalyzed_Umpolung_Strategy_to_Fluoroamides_via_Carbamoylative_Fluorination_of_Alkene_in_Aqueous_Medium/30618503</t>
  </si>
  <si>
    <t>https://doi.org/10.1021/acs.joc.5c02084.s002</t>
  </si>
  <si>
    <t>https://doi.org/10.1021/acs.joc.5c02084</t>
  </si>
  <si>
    <t>https://acs.figshare.com/articles/dataset/Bulky_yet_Flexible_Alkyl_Substituents_at_Remote_Positions_in_Tertiary_Phosphines_Synthesis_and_Catalytic_Performance_of_the_Phosphine_Ligands_in_the_Nickel-Catalyzed_Suzuki_Miyaura_Reaction/30572630</t>
  </si>
  <si>
    <t>https://doi.org/10.1021/acs.orglett.5c04126.s003</t>
  </si>
  <si>
    <t>https://doi.org/10.1021/acs.orglett.5c04126</t>
  </si>
  <si>
    <t>https://acs.figshare.com/articles/dataset/Bulky_yet_Flexible_Alkyl_Substituents_at_Remote_Positions_in_Tertiary_Phosphines_Synthesis_and_Catalytic_Performance_of_the_Phosphine_Ligands_in_the_Nickel-Catalyzed_Suzuki_Miyaura_Reaction/30572627</t>
  </si>
  <si>
    <t>https://doi.org/10.1021/acs.orglett.5c04126.s002</t>
  </si>
  <si>
    <t>https://acs.figshare.com/articles/dataset/Substrate-Directed_Annulative-Sulfonylation_Desulfonylation_Cascade_Using_i_E_i_-Iodovinyl_Sulfones_A_Diverse_Approach_for_the_Synthesis_of_Imidazo_1_2_i_a_i_pyridines_with_Sulfone_Motifs/30529342</t>
  </si>
  <si>
    <t>https://doi.org/10.1021/acs.joc.5c01427.s002</t>
  </si>
  <si>
    <t>https://doi.org/10.1021/acs.joc.5c01427</t>
  </si>
  <si>
    <t>https://acs.figshare.com/articles/dataset/Metal-Free_Photoinduced_On-DNA_Synthesis_of_Hydroxy_Sulfides/30518796</t>
  </si>
  <si>
    <t>https://doi.org/10.1021/acs.orglett.5c04043.s002</t>
  </si>
  <si>
    <t>https://doi.org/10.1021/acs.orglett.5c04043</t>
  </si>
  <si>
    <t>https://acs.figshare.com/articles/dataset/Distinct_Folding_Behavior_of_i_ortho_i_-Phenylenes_and_2_3-Pyrazinylenes/30498590</t>
  </si>
  <si>
    <t>https://doi.org/10.1021/acs.joc.5c01743.s001</t>
  </si>
  <si>
    <t>Distinct Folding Behavior of ortho-Phenylenes and 2,3-Pyrazinylenes</t>
  </si>
  <si>
    <t>https://doi.org/10.1021/acs.joc.5c01743</t>
  </si>
  <si>
    <t>https://acs.figshare.com/articles/dataset/Organophotocatalytic_Regioselective_Silylation_Germylation_and_Cascade_Cyclization_of_1_7-Dienes_Access_to_Silylated_Germylated_Benzazepine_Derivatives/30494711</t>
  </si>
  <si>
    <t>https://doi.org/10.1021/acs.joc.5c02091.s002</t>
  </si>
  <si>
    <t>Organophotocatalytic Regioselective Silylation/Germylation and Cascade Cyclization of 1,7-Dienes: Access to Silylated/Germylated Benzazepine Derivatives</t>
  </si>
  <si>
    <t>https://doi.org/10.1021/acs.joc.5c02091</t>
  </si>
  <si>
    <t>https://acs.figshare.com/articles/dataset/In-Catalyzed_Regioselective_3_2_Cycloaddition_of_Alkenes_with_-Unsaturated_Keto-Carboxylic_Acid_Derivatives_for_the_Synthesis_of_Butyrolactones/30445495</t>
  </si>
  <si>
    <t>https://doi.org/10.1021/acs.joc.5c01060.s002</t>
  </si>
  <si>
    <t>https://doi.org/10.1021/acs.joc.5c01060</t>
  </si>
  <si>
    <t>https://acs.figshare.com/articles/dataset/Steric_Hindrance-Driven_Access_to_3_4_7-Trihydro-1_2-oxaphosphepine_2_Oxides_from_Vinyloxiranes_and_Phosphoryl_Diazomethanes/30417379</t>
  </si>
  <si>
    <t>https://doi.org/10.1021/acs.joc.5c02154.s002</t>
  </si>
  <si>
    <t>https://doi.org/10.1021/acs.joc.5c02154</t>
  </si>
  <si>
    <t>https://acs.figshare.com/articles/dataset/Designing_Macrocycles_to_Adopt_Persistent_Isoenergetic_Conformations/30407029</t>
  </si>
  <si>
    <t>https://doi.org/10.1021/acs.joc.5c01560.s013</t>
  </si>
  <si>
    <t>Designing Macrocycles to Adopt Persistent, Isoenergetic Conformations</t>
  </si>
  <si>
    <t>https://doi.org/10.1021/acs.joc.5c01560</t>
  </si>
  <si>
    <t>https://acs.figshare.com/articles/dataset/Designing_Macrocycles_to_Adopt_Persistent_Isoenergetic_Conformations/30407026</t>
  </si>
  <si>
    <t>https://doi.org/10.1021/acs.joc.5c01560.s012</t>
  </si>
  <si>
    <t>https://acs.figshare.com/articles/dataset/Designing_Macrocycles_to_Adopt_Persistent_Isoenergetic_Conformations/30407023</t>
  </si>
  <si>
    <t>https://doi.org/10.1021/acs.joc.5c01560.s011</t>
  </si>
  <si>
    <t>https://acs.figshare.com/articles/dataset/Designing_Macrocycles_to_Adopt_Persistent_Isoenergetic_Conformations/30407020</t>
  </si>
  <si>
    <t>https://doi.org/10.1021/acs.joc.5c01560.s010</t>
  </si>
  <si>
    <t>https://acs.figshare.com/articles/dataset/Designing_Macrocycles_to_Adopt_Persistent_Isoenergetic_Conformations/30407017</t>
  </si>
  <si>
    <t>https://doi.org/10.1021/acs.joc.5c01560.s009</t>
  </si>
  <si>
    <t>https://acs.figshare.com/articles/dataset/Designing_Macrocycles_to_Adopt_Persistent_Isoenergetic_Conformations/30407014</t>
  </si>
  <si>
    <t>https://doi.org/10.1021/acs.joc.5c01560.s008</t>
  </si>
  <si>
    <t>https://acs.figshare.com/articles/dataset/Designing_Macrocycles_to_Adopt_Persistent_Isoenergetic_Conformations/30407011</t>
  </si>
  <si>
    <t>https://doi.org/10.1021/acs.joc.5c01560.s007</t>
  </si>
  <si>
    <t>https://acs.figshare.com/articles/dataset/Designing_Macrocycles_to_Adopt_Persistent_Isoenergetic_Conformations/30407008</t>
  </si>
  <si>
    <t>https://doi.org/10.1021/acs.joc.5c01560.s006</t>
  </si>
  <si>
    <t>https://acs.figshare.com/articles/dataset/Designing_Macrocycles_to_Adopt_Persistent_Isoenergetic_Conformations/30407005</t>
  </si>
  <si>
    <t>https://doi.org/10.1021/acs.joc.5c01560.s005</t>
  </si>
  <si>
    <t>https://acs.figshare.com/articles/dataset/Designing_Macrocycles_to_Adopt_Persistent_Isoenergetic_Conformations/30407002</t>
  </si>
  <si>
    <t>https://doi.org/10.1021/acs.joc.5c01560.s004</t>
  </si>
  <si>
    <t>https://acs.figshare.com/articles/dataset/Designing_Macrocycles_to_Adopt_Persistent_Isoenergetic_Conformations/30406999</t>
  </si>
  <si>
    <t>https://doi.org/10.1021/acs.joc.5c01560.s003</t>
  </si>
  <si>
    <t>https://acs.figshare.com/articles/dataset/Designing_Macrocycles_to_Adopt_Persistent_Isoenergetic_Conformations/30406996</t>
  </si>
  <si>
    <t>https://doi.org/10.1021/acs.joc.5c01560.s002</t>
  </si>
  <si>
    <t>https://acs.figshare.com/articles/dataset/Copper-Catalyzed_Regioselective_Hydroamination_and_Dual_Annulation_of_2_Alkynyl_Indole-3-carbonitriles_An_Assembly_of_Functionalized_Amino-Benzo_i_h_i_indolo_3_2_i_c_i_1_6_naphthyridines/30402010</t>
  </si>
  <si>
    <t>https://doi.org/10.1021/acs.orglett.5c03764.s002</t>
  </si>
  <si>
    <t>https://doi.org/10.1021/acs.orglett.5c03764</t>
  </si>
  <si>
    <t>https://acs.figshare.com/articles/dataset/Peptidyl_Glycosyl_Thiols_and_Disulfides_for_Enantioselective_Hydrogen_Atom_Transfer_HAT_and_Thiyl_Radical_Catalysis/30401940</t>
  </si>
  <si>
    <t>https://doi.org/10.1021/acs.joc.5c01989.s002</t>
  </si>
  <si>
    <t>Peptidyl Glycosyl Thiols and Disulfides for Enantioselective Hydrogen Atom Transfer (HAT) and Thiyl Radical Catalysis</t>
  </si>
  <si>
    <t>https://doi.org/10.1021/acs.joc.5c01989</t>
  </si>
  <si>
    <t>https://acs.figshare.com/articles/dataset/Pd-Catalyzed_Enantioselective_Double_C_H_Activation_and_Transmetalation_Synthesis_of_2_Heteroaryl_aryl-Ferrocenealdehydes/30384659</t>
  </si>
  <si>
    <t>https://doi.org/10.1021/acs.orglett.5c04004.s002</t>
  </si>
  <si>
    <t>https://doi.org/10.1021/acs.orglett.5c04004</t>
  </si>
  <si>
    <t>https://acs.figshare.com/articles/dataset/Palladium-Catalyzed_Carbonylative_Cross-Coupling_of_Aryl_Pseudo_halides_and_Cyclopropanols/30381968</t>
  </si>
  <si>
    <t>https://doi.org/10.1021/acs.joc.5c01963.s002</t>
  </si>
  <si>
    <t>Palladium-Catalyzed Carbonylative Cross-Coupling of Aryl (Pseudo)halides and Cyclopropanols</t>
  </si>
  <si>
    <t>https://doi.org/10.1021/acs.joc.5c01963</t>
  </si>
  <si>
    <t>https://acs.figshare.com/articles/dataset/Total_Synthesis_of_Daphnepapytone_A/30373532</t>
  </si>
  <si>
    <t>https://doi.org/10.1021/acs.joc.5c01774.s002</t>
  </si>
  <si>
    <t>Total Synthesis of Daphnepapytone A</t>
  </si>
  <si>
    <t>https://doi.org/10.1021/acs.joc.5c01774</t>
  </si>
  <si>
    <t>https://acs.figshare.com/articles/dataset/C_4_Functional_Group-Driven_Stereodivergent_Synthesis_and_Late-Stage_Diversification_of_6_Deoxy_l_talo_gulo_Rare_Sugars/30369422</t>
  </si>
  <si>
    <t>https://doi.org/10.1021/acs.orglett.5c03906.s002</t>
  </si>
  <si>
    <t>https://doi.org/10.1021/acs.orglett.5c03906</t>
  </si>
  <si>
    <t>https://acs.figshare.com/articles/dataset/Regiodivergent_Addition_of_Allylic_Acetals_in_Ruthenium-Catalyzed_C_H_N_H_Annulation_Reaction/30330083</t>
  </si>
  <si>
    <t>https://doi.org/10.1021/acs.orglett.5c03615.s001</t>
  </si>
  <si>
    <t>https://doi.org/10.1021/acs.orglett.5c03615</t>
  </si>
  <si>
    <t>https://acs.figshare.com/articles/dataset/1_3-Dipolar_Cycloaddition_of_Nitrile_Imines_to_2_Imino-thiazolo_3_2_i_a_i_pyrimidin-3-ones_Dipole-Initiated_Thiazolone-Imidazolone_Rearrangement/30327751</t>
  </si>
  <si>
    <t>https://doi.org/10.1021/acs.joc.5c00670.s002</t>
  </si>
  <si>
    <t>https://doi.org/10.1021/acs.joc.5c00670</t>
  </si>
  <si>
    <t>https://acs.figshare.com/articles/dataset/1_3-Dipolar_Cycloaddition_of_Nitrile_Imines_to_2_Imino-thiazolo_3_2_i_a_i_pyrimidin-3-ones_Dipole-Initiated_Thiazolone-Imidazolone_Rearrangement/30327748</t>
  </si>
  <si>
    <t>https://doi.org/10.1021/acs.joc.5c00670.s001</t>
  </si>
  <si>
    <t>https://acs.figshare.com/articles/dataset/Visible-Light-Induced_CdSeS_CdZnSe_ZnSe_ZnS_Quantum-Dot-Catalyzed_Three-Component_Reaction_for_the_Synthesis_of_4-Pyridyl_benzylaniline_Derivatives/30312518</t>
  </si>
  <si>
    <t>https://doi.org/10.1021/acs.orglett.5c03138.s002</t>
  </si>
  <si>
    <t>https://doi.org/10.1021/acs.orglett.5c03138</t>
  </si>
  <si>
    <t>https://acs.figshare.com/articles/dataset/Synthesis_and_Photophysical_Properties_of_Cyclic_Homodimer_of_U_Shaped_Dibenzophenazinylene/30311804</t>
  </si>
  <si>
    <t>https://doi.org/10.1021/acs.orglett.5c03358.s003</t>
  </si>
  <si>
    <t>https://doi.org/10.1021/acs.orglett.5c03358</t>
  </si>
  <si>
    <t>https://acs.figshare.com/articles/dataset/Synthesis_and_Photophysical_Properties_of_Cyclic_Homodimer_of_U_Shaped_Dibenzophenazinylene/30311801</t>
  </si>
  <si>
    <t>https://doi.org/10.1021/acs.orglett.5c03358.s002</t>
  </si>
  <si>
    <t>https://acs.figshare.com/articles/dataset/Origin_of_Substituent-Modulated_Regioselectivity_in_Phosphine-Catalyzed_3_2_Cyclization_of_Allenoates_and_Enones_A_Kinetic_Shift_toward_Curtin_Hammett_Control/30305436</t>
  </si>
  <si>
    <t>https://doi.org/10.1021/acs.joc.5c01466.s002</t>
  </si>
  <si>
    <t>https://doi.org/10.1021/acs.joc.5c01466</t>
  </si>
  <si>
    <t>https://acs.figshare.com/articles/dataset/Iron-Catalyzed_Oxidation_of_Triols_Containing_Vicinal_Diols_into_Hydroxylactones_A_DFT_Study/30299862</t>
  </si>
  <si>
    <t>https://doi.org/10.1021/acs.joc.5c01279.s003</t>
  </si>
  <si>
    <t>Iron-Catalyzed Oxidation of Triols Containing Vicinal Diols into Hydroxylactones: A DFT Study</t>
  </si>
  <si>
    <t>https://doi.org/10.1021/acs.joc.5c01279</t>
  </si>
  <si>
    <t>https://doi.org/10.1021/acs.orglett.5c03636.s002</t>
  </si>
  <si>
    <t>https://doi.org/10.1021/acs.orglett.5c03636</t>
  </si>
  <si>
    <t>https://acs.figshare.com/articles/dataset/Visible-Light-Induced_Difunctionalization_of_Styrenes_with_Aryl_Hydrazines_and_i_tert_i_-Butyl_Nitrite_One-Pot_Access_to_Arylethanone_Oximes/30193538</t>
  </si>
  <si>
    <t>https://doi.org/10.1021/acs.orglett.5c03229.s002</t>
  </si>
  <si>
    <t>https://doi.org/10.1021/acs.orglett.5c03229</t>
  </si>
  <si>
    <t>https://acs.figshare.com/articles/dataset/Total_Synthesis_of_Alanense_B_via_Stereoselective_Enolate_Alkylation/30171724</t>
  </si>
  <si>
    <t>https://doi.org/10.1021/acs.joc.5c01409.s002</t>
  </si>
  <si>
    <t>Total Synthesis of Alanense B via Stereoselective Enolate Alkylation</t>
  </si>
  <si>
    <t>https://doi.org/10.1021/acs.joc.5c01409</t>
  </si>
  <si>
    <t>https://acs.figshare.com/articles/dataset/Photoredox-Catalyzed_Deoxygenative_C_H_Alkylation_of_Azauracils_via_Xanthate-Activated_Alcohols/30170858</t>
  </si>
  <si>
    <t>https://doi.org/10.1021/acs.joc.5c02047.s002</t>
  </si>
  <si>
    <t>https://doi.org/10.1021/acs.joc.5c02047</t>
  </si>
  <si>
    <t>https://acs.figshare.com/articles/dataset/Synthesis_of_Unsymmetrical_Diaryl_Disulfides_via_I_sub_2_sub_DMF-Assisted_Reductive_Cross-Coupling_of_Sodium_Sulfinates_with_Arenediazonium_Tetrafluoroborates_Sodium_Metabisulfite/30153475</t>
  </si>
  <si>
    <t>https://doi.org/10.1021/acs.joc.5c01777.s001</t>
  </si>
  <si>
    <t>Synthesis of Unsymmetrical Diaryl Disulfides via I2/DMF-Assisted Reductive Cross-Coupling of Sodium Sulfinates with Arenediazonium Tetrafluoroborates/Sodium Metabisulfite</t>
  </si>
  <si>
    <t>https://doi.org/10.1021/acs.joc.5c01777</t>
  </si>
  <si>
    <t>https://acs.figshare.com/articles/dataset/Regio-_and_Chemoselective_Synthesis_of_Spiro_Cyclobutane-Isobenzofuranimines_via_Cascade_Oxycyclization_and_2_2_Cycloaddition_of_i_o_i_Alkynolbenzamides/30145504</t>
  </si>
  <si>
    <t>https://doi.org/10.1021/acs.joc.4c03092.s002</t>
  </si>
  <si>
    <t>https://doi.org/10.1021/acs.joc.4c03092</t>
  </si>
  <si>
    <t>https://acs.figshare.com/articles/dataset/Copper-Catalyzed_Vinylsulfonium_Salt_Diversification_with_P_O_OH_Bonds_Phosphoryloxylation_via_an_Ionic_Ring-Opening_Process/30138115</t>
  </si>
  <si>
    <t>https://doi.org/10.1021/acs.joc.5c01465.s005</t>
  </si>
  <si>
    <t>https://doi.org/10.1021/acs.joc.5c01465</t>
  </si>
  <si>
    <t>https://acs.figshare.com/articles/dataset/Copper-Catalyzed_Vinylsulfonium_Salt_Diversification_with_P_O_OH_Bonds_Phosphoryloxylation_via_an_Ionic_Ring-Opening_Process/30138112</t>
  </si>
  <si>
    <t>https://doi.org/10.1021/acs.joc.5c01465.s004</t>
  </si>
  <si>
    <t>https://acs.figshare.com/articles/dataset/Copper-Catalyzed_Vinylsulfonium_Salt_Diversification_with_P_O_OH_Bonds_Phosphoryloxylation_via_an_Ionic_Ring-Opening_Process/30138109</t>
  </si>
  <si>
    <t>https://doi.org/10.1021/acs.joc.5c01465.s003</t>
  </si>
  <si>
    <t>https://acs.figshare.com/articles/dataset/Copper-Catalyzed_Vinylsulfonium_Salt_Diversification_with_P_O_OH_Bonds_Phosphoryloxylation_via_an_Ionic_Ring-Opening_Process/30138106</t>
  </si>
  <si>
    <t>https://doi.org/10.1021/acs.joc.5c01465.s002</t>
  </si>
  <si>
    <t>https://acs.figshare.com/articles/dataset/Solvent_Effects_on_C_H_Abstraction_by_Hydroperoxyl_Radicals_Implication_for_Antioxidant_Strategies/30127428</t>
  </si>
  <si>
    <t>https://doi.org/10.1021/acs.joc.5c01140.s002</t>
  </si>
  <si>
    <t>https://doi.org/10.1021/acs.joc.5c01140</t>
  </si>
  <si>
    <t>https://acs.figshare.com/articles/dataset/Photoredox_Catalyzed_Cyclization_of_Enaminones_Ketene_i_N_i_i_S_i_Acetals_with_Ketodinitriles_to_Access_Polysubstituted_Pyrroles/30124592</t>
  </si>
  <si>
    <t>https://doi.org/10.1021/acs.joc.5c01759.s001</t>
  </si>
  <si>
    <t>https://doi.org/10.1021/acs.joc.5c01759</t>
  </si>
  <si>
    <t>https://acs.figshare.com/articles/dataset/Phenanthrene-Fused_BN-Acenaphth_yl_ene_Synthesis_Structures_and_Photophysical_Studies/30120209</t>
  </si>
  <si>
    <t>https://doi.org/10.1021/acs.joc.5c01113.s002</t>
  </si>
  <si>
    <t>Phenanthrene-Fused BN-Acenaphth(yl)ene: Synthesis, Structures, and Photophysical Studies</t>
  </si>
  <si>
    <t>https://doi.org/10.1021/acs.joc.5c01113</t>
  </si>
  <si>
    <t>https://acs.figshare.com/articles/dataset/Easy_Access_to_Vinylene-Linked_Conjugated_Homopolymers_from_Phosphonates_via_an_O_sub_2_sub_Mediated_Aldehyde-Free_Strategy/30120108</t>
  </si>
  <si>
    <t>https://doi.org/10.1021/acs.orglett.5c03195.s002</t>
  </si>
  <si>
    <t>https://doi.org/10.1021/acs.orglett.5c03195</t>
  </si>
  <si>
    <t>https://acs.figshare.com/articles/dataset/Three-Component_Reaction_through_Rh_III_-Catalyzed_Strain_Release_of_Bicyclo_1_1_0_butanes/30117451</t>
  </si>
  <si>
    <t>https://doi.org/10.1021/acs.orglett.5c03345.s002</t>
  </si>
  <si>
    <t>Three-Component Reaction through Rh(III)-Catalyzed Strain Release of Bicyclo[1.1.0]butanes</t>
  </si>
  <si>
    <t>https://doi.org/10.1021/acs.orglett.5c03345</t>
  </si>
  <si>
    <t>https://acs.figshare.com/articles/dataset/Stereoselective_Oxidative_Coupling_of_Amino_Acids_or_Oligopeptides_with_Aldehydes_A_Mechanism_Study/30109200</t>
  </si>
  <si>
    <t>https://doi.org/10.1021/acs.joc.5c01112.s002</t>
  </si>
  <si>
    <t>Stereoselective Oxidative Coupling of Amino Acids or Oligopeptides with Aldehydes: A Mechanism Study</t>
  </si>
  <si>
    <t>https://doi.org/10.1021/acs.joc.5c01112</t>
  </si>
  <si>
    <t>https://acs.figshare.com/articles/dataset/Photoredox_Catalytic_Synthesis_of_Indoles_via_Direct_N_H_Activation_to_Generate_Putative_Aminyl_Radicals/30081057</t>
  </si>
  <si>
    <t>https://doi.org/10.1021/acs.orglett.5c03410.s002</t>
  </si>
  <si>
    <t>https://doi.org/10.1021/acs.orglett.5c03410</t>
  </si>
  <si>
    <t>https://acs.figshare.com/articles/dataset/Electrochemical_Oxidative_Ring_Opening_of_1_Acetylindoline-3-one_to_Access_Ketoamides/30075838</t>
  </si>
  <si>
    <t>https://doi.org/10.1021/acs.joc.5c01501.s002</t>
  </si>
  <si>
    <t>https://doi.org/10.1021/acs.joc.5c01501</t>
  </si>
  <si>
    <t>https://acs.figshare.com/articles/dataset/Photochemical_Flow_Synthesis_of_Trisubstituted_Oxazoles_Enabled_by_High-Power_UV_B_LED_Modules/30052080</t>
  </si>
  <si>
    <t>https://doi.org/10.1021/acs.orglett.5c03241.s001</t>
  </si>
  <si>
    <t>https://doi.org/10.1021/acs.orglett.5c03241</t>
  </si>
  <si>
    <t>https://acs.figshare.com/articles/dataset/Kinetic_Profiles_as_a_Diagnostic_Probe_of_Complex_Multi-Cycle_Catalytic_Reaction_Networks/30032213</t>
  </si>
  <si>
    <t>https://doi.org/10.1021/acs.joc.5c00940.s002</t>
  </si>
  <si>
    <t>Kinetic Profiles as a Diagnostic Probe of Complex Multi-Cycle Catalytic Reaction Networks</t>
  </si>
  <si>
    <t>https://doi.org/10.1021/acs.joc.5c00940</t>
  </si>
  <si>
    <t>https://acs.figshare.com/articles/dataset/Dual-State_Mechano-_and_Electrochromic_Responses_Enabled_by_Sterically_Strained_Diazaanthraquinodimethanes/30027242</t>
  </si>
  <si>
    <t>https://doi.org/10.1021/acs.joc.5c01545.s002</t>
  </si>
  <si>
    <t>Dual-State Mechano- and Electrochromic Responses Enabled by Sterically Strained Diazaanthraquinodimethanes</t>
  </si>
  <si>
    <t>https://doi.org/10.1021/acs.joc.5c01545</t>
  </si>
  <si>
    <t>https://acs.figshare.com/articles/dataset/A_Noncarbenoid_Approach_to_Imidazolidines_via_ZnCl_sub_2_sub_Catalyzed_Annulation_of_4_Alkoxycarbonyl-1_2-diaza-1_3-dienes_with_1_3_5-Triazinanes/30009329</t>
  </si>
  <si>
    <t>https://doi.org/10.1021/acs.joc.5c01387.s002</t>
  </si>
  <si>
    <t>https://doi.org/10.1021/acs.joc.5c01387</t>
  </si>
  <si>
    <t>https://acs.figshare.com/articles/dataset/3_Hydroxyisoindolinones_from_Keto_Acids_and_Amines_A_Mild_One-Pot_Synthesis_with_Amidinium_and_Phosphonium_Salts/30006574</t>
  </si>
  <si>
    <t>https://doi.org/10.1021/acs.joc.5c01225.s001</t>
  </si>
  <si>
    <t>https://doi.org/10.1021/acs.joc.5c01225</t>
  </si>
  <si>
    <t>https://acs.figshare.com/articles/dataset/Pd-Catalyzed_One-Pot_Synthesis_of_Indole-3-carboxylic_Acids_via_a_Sequential_Water-Mediated_Nucleophilic_Addition_to_Amides_Esters_and_Carbon_Heteroatom_Cross-Coupling_Reaction_Strategy/30001430</t>
  </si>
  <si>
    <t>https://doi.org/10.1021/acs.joc.5c01082.s003</t>
  </si>
  <si>
    <t>https://doi.org/10.1021/acs.joc.5c01082</t>
  </si>
  <si>
    <t>https://acs.figshare.com/articles/dataset/Pd-Catalyzed_One-Pot_Synthesis_of_Indole-3-carboxylic_Acids_via_a_Sequential_Water-Mediated_Nucleophilic_Addition_to_Amides_Esters_and_Carbon_Heteroatom_Cross-Coupling_Reaction_Strategy/30001427</t>
  </si>
  <si>
    <t>https://doi.org/10.1021/acs.joc.5c01082.s002</t>
  </si>
  <si>
    <t>https://acs.figshare.com/articles/dataset/Gold-Catalyzed_Single_i_O_i_Transfer_to_Internal_CF_sub_3_sub_Alkynes_Regioselective_Synthesis_of_4_Trifluoromethylated_Oxazoles/29991845</t>
  </si>
  <si>
    <t>https://doi.org/10.1021/acs.joc.5c01570.s002</t>
  </si>
  <si>
    <t>https://doi.org/10.1021/acs.joc.5c01570</t>
  </si>
  <si>
    <t>https://acs.figshare.com/articles/dataset/A_Visible-Light_Organophotoredox-Catalyzed_i_anti_i_-Markovnikov_Hydrocarbamoylation_of_Unactivated_Alkene_and_Cyclization_Cascade_via_Radical_Relay/29990042</t>
  </si>
  <si>
    <t>https://doi.org/10.1021/acs.orglett.5c02878.s001</t>
  </si>
  <si>
    <t>A Visible-Light Organophotoredox-Catalyzed anti-Markovnikov Hydrocarbamoylation of Unactivated Alkene and Cyclization Cascade via Radical Relay</t>
  </si>
  <si>
    <t>https://doi.org/10.1021/acs.orglett.5c02878</t>
  </si>
  <si>
    <t>https://acs.figshare.com/articles/dataset/Irradiation_of_Bifunctional_Masked_Ketone_Pro-Aromatics_Unveils_Autoinductive_Autocatalysis_via_Electron_Donor_Acceptor_EDA_Complexes/29984381</t>
  </si>
  <si>
    <t>https://doi.org/10.1021/acs.orglett.5c02448.s001</t>
  </si>
  <si>
    <t>https://doi.org/10.1021/acs.orglett.5c02448</t>
  </si>
  <si>
    <t>https://acs.figshare.com/articles/dataset/Construction_of_Acyclic_Vicinal_All-Carbon_Quaternary_and_Tertiary_Carbon_Stereocenters_via_a_Stereoselective_Claisen_Rearrangement/29978185</t>
  </si>
  <si>
    <t>https://doi.org/10.1021/acs.orglett.5c02876.s001</t>
  </si>
  <si>
    <t>Construction of Acyclic Vicinal All-Carbon Quaternary and Tertiary Carbon Stereocenters via a Stereoselective Claisen Rearrangement</t>
  </si>
  <si>
    <t>https://doi.org/10.1021/acs.orglett.5c02876</t>
  </si>
  <si>
    <t>https://acs.figshare.com/articles/dataset/Synthesis_of_2_Trifluoromethylindolines_via_Rh_III_-Catalyzed_Chelation-Assisted_C_H_Bond_Activation_and_Annulation_of_Anilines_with_CF_sub_3_sub_Imidoyl_Sulfoxonium_Ylides/29977829</t>
  </si>
  <si>
    <t>https://doi.org/10.1021/acs.joc.5c01490.s004</t>
  </si>
  <si>
    <t>https://doi.org/10.1021/acs.joc.5c01490</t>
  </si>
  <si>
    <t>https://acs.figshare.com/articles/dataset/Synthesis_of_2_Trifluoromethylindolines_via_Rh_III_-Catalyzed_Chelation-Assisted_C_H_Bond_Activation_and_Annulation_of_Anilines_with_CF_sub_3_sub_Imidoyl_Sulfoxonium_Ylides/29977826</t>
  </si>
  <si>
    <t>https://doi.org/10.1021/acs.joc.5c01490.s003</t>
  </si>
  <si>
    <t>https://acs.figshare.com/articles/dataset/Synthesis_of_2_Trifluoromethylindolines_via_Rh_III_-Catalyzed_Chelation-Assisted_C_H_Bond_Activation_and_Annulation_of_Anilines_with_CF_sub_3_sub_Imidoyl_Sulfoxonium_Ylides/29977823</t>
  </si>
  <si>
    <t>https://doi.org/10.1021/acs.joc.5c01490.s002</t>
  </si>
  <si>
    <t>https://acs.figshare.com/articles/dataset/Alectinib_Synthesis_through_Formal_Arylation_of_Enone/29975754</t>
  </si>
  <si>
    <t>https://doi.org/10.1021/acs.orglett.5c03186.s001</t>
  </si>
  <si>
    <t>https://doi.org/10.1021/acs.orglett.5c03186</t>
  </si>
  <si>
    <t>https://acs.figshare.com/articles/dataset/From_Delocalization_to_Disruption_The_Role_of_Aromaticity_in_i_N_i_Heterocyclic_Carbenes_Reactions_with_Diazoalkane_and_Diazoester/29970242</t>
  </si>
  <si>
    <t>https://doi.org/10.1021/acs.joc.5c01606.s002</t>
  </si>
  <si>
    <t>https://doi.org/10.1021/acs.joc.5c01606</t>
  </si>
  <si>
    <t>https://acs.figshare.com/articles/dataset/Nickel-Catalyzed_Selective_Monoamination_of_1_2-Diols_An_Affordable_Approach_to_Amino_Alcohols/29964941</t>
  </si>
  <si>
    <t>https://doi.org/10.1021/acs.orglett.5c02536.s001</t>
  </si>
  <si>
    <t>Nickel-Catalyzed Selective Monoamination of 1,2-Diols: An Affordable Approach to Amino Alcohols</t>
  </si>
  <si>
    <t>https://doi.org/10.1021/acs.orglett.5c02536</t>
  </si>
  <si>
    <t>https://acs.figshare.com/articles/dataset/Anion-Controlled_Regioselectivity_in_Halonium-Mediated_Arylations_A_Kinetic_and_Mechanistic_Study/29941744</t>
  </si>
  <si>
    <t>https://doi.org/10.1021/acs.joc.5c00805.s002</t>
  </si>
  <si>
    <t>Anion-Controlled Regioselectivity in Halonium-Mediated Arylations: A Kinetic and Mechanistic Study</t>
  </si>
  <si>
    <t>https://doi.org/10.1021/acs.joc.5c00805</t>
  </si>
  <si>
    <t>https://acs.figshare.com/articles/dataset/Rapid_Access_to_Spiro_4_6_-_di_benzodiazepine_Indenes_Regioselective_Rh_III_-Catalyzed_Cascade_C_H_Activation_Spiroannulation/29918536</t>
  </si>
  <si>
    <t>https://doi.org/10.1021/acs.orglett.5c02724.s001</t>
  </si>
  <si>
    <t>https://doi.org/10.1021/acs.orglett.5c02724</t>
  </si>
  <si>
    <t>https://acs.figshare.com/articles/dataset/Annulative_Coupling_of_Ketosulfoxonium_Ylides_Ketothioamides_and_Aldehydes_Access_to_Highly_Functionalized_Dihydrothiophenes/29917518</t>
  </si>
  <si>
    <t>https://doi.org/10.1021/acs.joc.5c01156.s002</t>
  </si>
  <si>
    <t>https://doi.org/10.1021/acs.joc.5c01156</t>
  </si>
  <si>
    <t>https://acs.figshare.com/articles/dataset/Regioselectivity_Switching_in_the_Tandem_Reaction_of_Skipped_Diynones_with_Allylic_Alcohols_Stereoselective_Synthesis_of_4_Allyl-2-Methylene-3_2_i_H_i_Furanones/29917222</t>
  </si>
  <si>
    <t>https://doi.org/10.1021/acs.joc.5c01422.s002</t>
  </si>
  <si>
    <t>https://doi.org/10.1021/acs.joc.5c01422</t>
  </si>
  <si>
    <t>https://acs.figshare.com/articles/dataset/_i_tert_i_-BuONO-Promoted_Nitrosation_of_4_Nitroisoxazole-Based_Enamines_Synthesis_of_5_Cyanoisoxazoles_and_Their_Application/29912228</t>
  </si>
  <si>
    <t>https://doi.org/10.1021/acs.joc.5c01207.s001</t>
  </si>
  <si>
    <t>https://doi.org/10.1021/acs.joc.5c01207</t>
  </si>
  <si>
    <t>https://acs.figshare.com/articles/dataset/Ligand-Enabled_Room-Temperature_Three-Component_Strategy_for_Mono-_-arylation_of_Acetone_with_Cyclic_Diaryliodonium_Salts_and_Alkenes/29908246</t>
  </si>
  <si>
    <t>https://doi.org/10.1021/acs.orglett.5c02004.s002</t>
  </si>
  <si>
    <t>https://doi.org/10.1021/acs.orglett.5c02004</t>
  </si>
  <si>
    <t>https://acs.figshare.com/articles/dataset/Structural_Expansion_of_Dibenzo_i_b_i_i_d_i_thiophene_Sulfone_through_Functionalization_at_Bay_Positions/29897702</t>
  </si>
  <si>
    <t>https://doi.org/10.1021/acs.orglett.5c02414.s002</t>
  </si>
  <si>
    <t>Structural Expansion of Dibenzo[b,d]thiophene Sulfone through Functionalization at Bay Positions</t>
  </si>
  <si>
    <t>https://doi.org/10.1021/acs.orglett.5c02414</t>
  </si>
  <si>
    <t>https://acs.figshare.com/articles/dataset/Concise_Atom-Economical_and_Enantiodivergent_Total_Synthesis_of_Lycorane_via_Organocatalyzed_4_2_Cycloaddition_Reaction/29891752</t>
  </si>
  <si>
    <t>https://doi.org/10.1021/acs.joc.5c01538.s002</t>
  </si>
  <si>
    <t>https://doi.org/10.1021/acs.joc.5c01538</t>
  </si>
  <si>
    <t>https://acs.figshare.com/articles/dataset/Chiral_P_N_N-Ligands_for_the_Manganese-Catalyzed_Asymmetric_Formal_Hydroamination_of_Allylic_Alcohols/29857057</t>
  </si>
  <si>
    <t>https://doi.org/10.1021/acs.joc.5c01353.s002</t>
  </si>
  <si>
    <t>Chiral P,N,N-Ligands for the Manganese-Catalyzed Asymmetric Formal Hydroamination of Allylic Alcohols</t>
  </si>
  <si>
    <t>https://doi.org/10.1021/acs.joc.5c01353</t>
  </si>
  <si>
    <t>https://acs.figshare.com/articles/dataset/Isolation_of_a_Transition-State_Geometry_via_Intermolecular_Stabilization_in_the_Solid_State/29847572</t>
  </si>
  <si>
    <t>https://doi.org/10.1021/acs.orglett.5c02689.s001</t>
  </si>
  <si>
    <t>Isolation of a Transition-State Geometry via Intermolecular Stabilization in the Solid State</t>
  </si>
  <si>
    <t>https://doi.org/10.1021/acs.orglett.5c02689</t>
  </si>
  <si>
    <t>https://acs.figshare.com/articles/dataset/_Extended_1_1_-Binaphthyl_with_Fused_Pentagons/29835796</t>
  </si>
  <si>
    <t>https://doi.org/10.1021/acs.orglett.5c02659.s001</t>
  </si>
  <si>
    <t>https://doi.org/10.1021/acs.orglett.5c02659</t>
  </si>
  <si>
    <t>https://acs.figshare.com/articles/dataset/Inherent_Weakly_Coordinating_Oxo-Group-Directed_Ruthenium_II_-Catalyzed_C5_Functionalization_of_2_Arylquinolin-4_1_i_H_i_ones/29828882</t>
  </si>
  <si>
    <t>https://doi.org/10.1021/acs.orglett.5c02418.s001</t>
  </si>
  <si>
    <t>https://doi.org/10.1021/acs.orglett.5c02418</t>
  </si>
  <si>
    <t>https://acs.figshare.com/articles/dataset/Access_to_Tetrahydropyrido_1_2_i_a_i_indol-6-one_Derivatives_via_NHC-Catalyzed_Radical_Dearomatization_of_Indoles/29821441</t>
  </si>
  <si>
    <t>https://doi.org/10.1021/acs.orglett.5c02563.s001</t>
  </si>
  <si>
    <t>https://doi.org/10.1021/acs.orglett.5c02563</t>
  </si>
  <si>
    <t>https://acs.figshare.com/articles/dataset/Photoinduced_Ligated_Boryl_Radical-Mediated_Alkynylation_of_Inert_Iodoalkanes/29757096</t>
  </si>
  <si>
    <t>https://doi.org/10.1021/acs.orglett.5c02783.s001</t>
  </si>
  <si>
    <t>Photoinduced Ligated Boryl Radical-Mediated Alkynylation of Inert Iodoalkanes</t>
  </si>
  <si>
    <t>https://doi.org/10.1021/acs.orglett.5c02783</t>
  </si>
  <si>
    <t>https://acs.figshare.com/articles/dataset/Iridium-Catalyzed_Regio-_and_Enantioselective_C7-Allylic_Alkylation_of_4_Aminoindoles/29752683</t>
  </si>
  <si>
    <t>https://doi.org/10.1021/acs.orglett.5c02636.s002</t>
  </si>
  <si>
    <t>https://doi.org/10.1021/acs.orglett.5c02636</t>
  </si>
  <si>
    <t>https://acs.figshare.com/articles/dataset/Iridium-Catalyzed_Regio-_and_Enantioselective_C7-Allylic_Alkylation_of_4_Aminoindoles/29752680</t>
  </si>
  <si>
    <t>https://doi.org/10.1021/acs.orglett.5c02636.s001</t>
  </si>
  <si>
    <t>https://acs.figshare.com/articles/dataset/Tunable_Synthesis_of_Polysubstituted_Pyrroles_via_Silver-Catalyzed_3_2_Cycloaddition_of_-Unsaturated_Nitroketones_with_Isocyanides/29677709</t>
  </si>
  <si>
    <t>https://doi.org/10.1021/acs.joc.5c01584.s002</t>
  </si>
  <si>
    <t>https://doi.org/10.1021/acs.joc.5c01584</t>
  </si>
  <si>
    <t>https://acs.figshare.com/articles/dataset/Electrochemically_Oxidative_C_H_N_H_Cross-Coupling_Reactions_of_Sulfoximines_with_Imidazopyridines/29673024</t>
  </si>
  <si>
    <t>https://doi.org/10.1021/acs.joc.5c01245.s002</t>
  </si>
  <si>
    <t>https://doi.org/10.1021/acs.joc.5c01245</t>
  </si>
  <si>
    <t>https://acs.figshare.com/articles/dataset/Regiodivergence_in_the_Cycloadditions_between_a_Cyclic_Nitrone_and_Carbonyl-Type_Dipolarophiles/29670849</t>
  </si>
  <si>
    <t>https://doi.org/10.1021/acs.joc.5c00727.s002</t>
  </si>
  <si>
    <t>Regiodivergence in the Cycloadditions between a Cyclic Nitrone and Carbonyl-Type Dipolarophiles</t>
  </si>
  <si>
    <t>https://doi.org/10.1021/acs.joc.5c00727</t>
  </si>
  <si>
    <t>https://acs.figshare.com/articles/dataset/Benzo_i_b_i_furan_Platforms_for_Tailorable_Photochromic_Molecules/29665581</t>
  </si>
  <si>
    <t>https://doi.org/10.1021/acs.orglett.5c02559.s002</t>
  </si>
  <si>
    <t>Benzo[b]furan Platforms for Tailorable Photochromic Molecules</t>
  </si>
  <si>
    <t>https://doi.org/10.1021/acs.orglett.5c02559</t>
  </si>
  <si>
    <t>https://acs.figshare.com/articles/dataset/Solvent-Dependent_Change_in_the_Rate-Determining_Step_of_Au_I_-Catalyzed_i_N_i_Propargyl_Benzamide_Cyclization/29657192</t>
  </si>
  <si>
    <t>https://doi.org/10.1021/acs.joc.5c00787.s001</t>
  </si>
  <si>
    <t>https://doi.org/10.1021/acs.joc.5c00787</t>
  </si>
  <si>
    <t>https://acs.figshare.com/articles/dataset/Stereoelectronic_Tuning_of_Heteroaromatic_Amino_Acids_for_Turn_Mimetic_Design/29654346</t>
  </si>
  <si>
    <t>https://doi.org/10.1021/acs.orglett.5c02495.s001</t>
  </si>
  <si>
    <t>https://doi.org/10.1021/acs.orglett.5c02495</t>
  </si>
  <si>
    <t>https://acs.figshare.com/articles/dataset/Subtle_Strain-Release-Driven_Aroylation_of_Four-Membered_Rings_via_Decarboxylative_Giese-Type_Reactions/29651623</t>
  </si>
  <si>
    <t>https://doi.org/10.1021/acs.orglett.5c02499.s001</t>
  </si>
  <si>
    <t>Subtle Strain-Release-Driven Aroylation of Four-Membered Rings via Decarboxylative Giese-Type Reactions</t>
  </si>
  <si>
    <t>https://doi.org/10.1021/acs.orglett.5c02499</t>
  </si>
  <si>
    <t>https://acs.figshare.com/articles/dataset/HFIP-Assisted_Denitrogenative_Radical_Fragmentation_Pathway_of_Areneazo-2-_2-nitro_propanes_Cross-Coupling_of_Aryl_Radicals_with_Alkynes_and_Coupling_Reagents/29648038</t>
  </si>
  <si>
    <t>https://doi.org/10.1021/acs.orglett.5c02494.s001</t>
  </si>
  <si>
    <t>HFIP-Assisted Denitrogenative Radical Fragmentation Pathway of Areneazo-2-(2-nitro)propanes: Cross-Coupling of Aryl Radicals with Alkynes and Coupling Reagents</t>
  </si>
  <si>
    <t>https://doi.org/10.1021/acs.orglett.5c02494</t>
  </si>
  <si>
    <t>https://acs.figshare.com/articles/dataset/C_C_Coupling_Enabled_by_Mn_Complexes_with_Diacyl_Peroxides_Alkylation_versus_Oxygenation/29643226</t>
  </si>
  <si>
    <t>https://doi.org/10.1021/acs.joc.5c00912.s002</t>
  </si>
  <si>
    <t>https://doi.org/10.1021/acs.joc.5c00912</t>
  </si>
  <si>
    <t>https://acs.figshare.com/articles/dataset/Synthesis_of_C_sub_62_sub_N_Containing_a_Heptagon/29642485</t>
  </si>
  <si>
    <t>https://doi.org/10.1021/acs.orglett.5c02624.s001</t>
  </si>
  <si>
    <t>Synthesis of C62N Containing a Heptagon</t>
  </si>
  <si>
    <t>https://doi.org/10.1021/acs.orglett.5c02624</t>
  </si>
  <si>
    <t>https://acs.figshare.com/articles/dataset/Copper-Catalyzed_Enantioselective_Acylcyanation_of_Alkenes/29637504</t>
  </si>
  <si>
    <t>https://doi.org/10.1021/acs.orglett.5c02373.s001</t>
  </si>
  <si>
    <t>Copper-Catalyzed Enantioselective Acylcyanation of Alkenes</t>
  </si>
  <si>
    <t>https://doi.org/10.1021/acs.orglett.5c02373</t>
  </si>
  <si>
    <t>https://acs.figshare.com/articles/dataset/Rh_III_-Catalyzed_Atroposelective_C_H_Cyanation_of_1_Aryl_benzo_i_h_i_isoquinolines/29634950</t>
  </si>
  <si>
    <t>https://doi.org/10.1021/acs.orglett.5c02286.s002</t>
  </si>
  <si>
    <t>https://doi.org/10.1021/acs.orglett.5c02286</t>
  </si>
  <si>
    <t>https://acs.figshare.com/articles/dataset/A_2_nm_Molecular_Ladder_with_a_Twisted_Backbone/29632109</t>
  </si>
  <si>
    <t>https://doi.org/10.1021/acs.orglett.5c02706.s001</t>
  </si>
  <si>
    <t>A 2 nm Molecular Ladder with a Twisted Backbone</t>
  </si>
  <si>
    <t>https://doi.org/10.1021/acs.orglett.5c02706</t>
  </si>
  <si>
    <t>https://acs.figshare.com/articles/dataset/Visible-Light-Promoted_Selenylative_Radical_Cyclization_of_2_Vinyl_i_N_i_Aryl_Imines_to_3_i_H_i_Indoles_via_Oxygen_Photosensitization/29621294</t>
  </si>
  <si>
    <t>https://doi.org/10.1021/acs.orglett.5c02670.s001</t>
  </si>
  <si>
    <t>https://doi.org/10.1021/acs.orglett.5c02670</t>
  </si>
  <si>
    <t>https://acs.figshare.com/articles/dataset/Mechanistic_Basis_for_Divergent_Stereoselectivity_in_Intramolecular_Ni-Catalyzed_Cross-Electrophile_Coupling_Reactions/29610318</t>
  </si>
  <si>
    <t>https://doi.org/10.1021/acs.joc.5c00955.s002</t>
  </si>
  <si>
    <t>Mechanistic Basis for Divergent Stereoselectivity in Intramolecular Ni-Catalyzed Cross-Electrophile Coupling Reactions</t>
  </si>
  <si>
    <t>https://doi.org/10.1021/acs.joc.5c00955</t>
  </si>
  <si>
    <t>https://acs.figshare.com/articles/dataset/Access_to_SCF_sub_3_sub_Substituted_Indolizines_via_a_Photocatalytic_Late-Stage_Functionalization_Protocol/29608562</t>
  </si>
  <si>
    <t>https://doi.org/10.1021/acs.orglett.5c02079.s002</t>
  </si>
  <si>
    <t>https://doi.org/10.1021/acs.orglett.5c02079</t>
  </si>
  <si>
    <t>https://acs.figshare.com/articles/dataset/The_Anthranil_Core_as_a_Conjugated_Bridge_in_the_Synthesis_of_Molecular_Photosensitizers/29594321</t>
  </si>
  <si>
    <t>https://doi.org/10.1021/acs.joc.5c00389.s002</t>
  </si>
  <si>
    <t>https://doi.org/10.1021/acs.joc.5c00389</t>
  </si>
  <si>
    <t>https://acs.figshare.com/articles/dataset/FeCl_sub_3_sub_TBHP-Mediated_Oxidation_of_Indoles_Divergent_Product_Selectivity_under_Mechanochemical_and_Solution-Based_Conditions/29572154</t>
  </si>
  <si>
    <t>https://doi.org/10.1021/acs.joc.5c00472.s002</t>
  </si>
  <si>
    <t>FeCl3/TBHP-Mediated Oxidation of Indoles: Divergent Product Selectivity under Mechanochemical and Solution-Based Conditions</t>
  </si>
  <si>
    <t>https://doi.org/10.1021/acs.joc.5c00472</t>
  </si>
  <si>
    <t>https://acs.figshare.com/articles/dataset/Image-Based_Machine_Learning_Using_Inkjet-Printed_Chemicals_Mixing_Ratio_Prediction_and_Metal_Ion_Detection/29553077</t>
  </si>
  <si>
    <t>https://doi.org/10.1021/acs.orglett.5c02270.s002</t>
  </si>
  <si>
    <t>Image-Based Machine Learning Using Inkjet-Printed Chemicals: Mixing Ratio Prediction and Metal Ion Detection</t>
  </si>
  <si>
    <t>https://doi.org/10.1021/acs.orglett.5c02270</t>
  </si>
  <si>
    <t>https://acs.figshare.com/articles/dataset/All-Aza_i_meso_i_-Benzo-Fused_Triphyrins_2_1_1_Large_Bathochromic_Shift_and_Intensified_Absorption_via_Extended_Conjugation/29539592</t>
  </si>
  <si>
    <t>https://doi.org/10.1021/acs.orglett.5c02150.s002</t>
  </si>
  <si>
    <t>https://doi.org/10.1021/acs.orglett.5c02150</t>
  </si>
  <si>
    <t>https://acs.figshare.com/articles/dataset/Ir_III_-Photocatalyzed_Stereoselective_Synthesis_of_2_Azadienes/29538040</t>
  </si>
  <si>
    <t>https://doi.org/10.1021/acs.orglett.5c02366.s002</t>
  </si>
  <si>
    <t>https://doi.org/10.1021/acs.orglett.5c02366</t>
  </si>
  <si>
    <t>https://acs.figshare.com/articles/dataset/Curcumin_as_a_Cinnamoyl_Transfer_Reagent_via_C_C_CO_Bond_Scissoring_in_the_Microwave-Assisted_Reaction_with_Hydroxy_i_p_i_QMs/29525258</t>
  </si>
  <si>
    <t>https://doi.org/10.1021/acs.joc.5c00609.s002</t>
  </si>
  <si>
    <t>https://doi.org/10.1021/acs.joc.5c00609</t>
  </si>
  <si>
    <t>https://acs.figshare.com/articles/dataset/Streamlined_Umpolung_Coupling_to_Diarylamine_Using_an_Easily_Accessible_Copper_Catalyst_under_Mild_Conditions/29498319</t>
  </si>
  <si>
    <t>https://doi.org/10.1021/acs.joc.5c00808.s002</t>
  </si>
  <si>
    <t>Streamlined Umpolung Coupling to Diarylamine Using an Easily Accessible Copper Catalyst under Mild Conditions</t>
  </si>
  <si>
    <t>https://doi.org/10.1021/acs.joc.5c00808</t>
  </si>
  <si>
    <t>https://acs.figshare.com/articles/dataset/Precise_Synthesis_of_Ester-Functionalized_Cyclo_6_-_and_Cyclo_7_furans/29494704</t>
  </si>
  <si>
    <t>https://doi.org/10.1021/acs.joc.5c00526.s003</t>
  </si>
  <si>
    <t>Precise Synthesis of Ester-Functionalized Cyclo[6]- and Cyclo[7]furans</t>
  </si>
  <si>
    <t>https://doi.org/10.1021/acs.joc.5c00526</t>
  </si>
  <si>
    <t>https://acs.figshare.com/articles/dataset/Precise_Synthesis_of_Ester-Functionalized_Cyclo_6_-_and_Cyclo_7_furans/29494701</t>
  </si>
  <si>
    <t>https://doi.org/10.1021/acs.joc.5c00526.s002</t>
  </si>
  <si>
    <t>https://acs.figshare.com/articles/dataset/Stereocontrolled_Ring-Opening_of_Oxazolidinone-Fused_Aziridines_for_the_Synthesis_of_2_Amino_Ethers/29494695</t>
  </si>
  <si>
    <t>https://doi.org/10.1021/acs.joc.5c01068.s002</t>
  </si>
  <si>
    <t>https://doi.org/10.1021/acs.joc.5c01068</t>
  </si>
  <si>
    <t>https://acs.figshare.com/articles/dataset/Phenyl_Spacer_Modulation_of_2_5-Substituted_D_A-Type_Siloles_for_Efficient_Nondoped_OLEDs/29490752</t>
  </si>
  <si>
    <t>https://doi.org/10.1021/acs.joc.5c00369.s002</t>
  </si>
  <si>
    <t>https://doi.org/10.1021/acs.joc.5c00369</t>
  </si>
  <si>
    <t>https://acs.figshare.com/articles/dataset/Do_We_See_the_True_Color_of_Anthocyanidins_/29447807</t>
  </si>
  <si>
    <t>https://doi.org/10.1021/acs.joc.5c00649.s002</t>
  </si>
  <si>
    <t>Do We See the True Color of Anthocyanidins?</t>
  </si>
  <si>
    <t>https://doi.org/10.1021/acs.joc.5c00649</t>
  </si>
  <si>
    <t>https://acs.figshare.com/articles/dataset/NCS-Mediated_Direct_Synthesis_of_Chlorosulfoxides_from_Unactivated_Alkenes_and_Thiophenols/29442623</t>
  </si>
  <si>
    <t>https://doi.org/10.1021/acs.joc.5c00884.s001</t>
  </si>
  <si>
    <t>https://doi.org/10.1021/acs.joc.5c00884</t>
  </si>
  <si>
    <t>https://acs.figshare.com/articles/dataset/One-Pot_High-Yield_Synthesis_of_a_Tripodal_Triamine_Building_Block_in_an_Ammonia_Ethanolic_Solution/29442593</t>
  </si>
  <si>
    <t>https://doi.org/10.1021/acs.joc.5c00474.s002</t>
  </si>
  <si>
    <t>One-Pot High-Yield Synthesis of a Tripodal Triamine Building Block in an Ammonia Ethanolic Solution</t>
  </si>
  <si>
    <t>https://doi.org/10.1021/acs.joc.5c00474</t>
  </si>
  <si>
    <t>https://acs.figshare.com/articles/dataset/Photocyclization_of_8_Aryloxybenzo_i_e_i_1_2_4_triazines_Revisited_Unambiguous_Structural_Assignment_of_Planar_Blatter_Radicals_by_Correlation_NMR_Spectroscopy/29429341</t>
  </si>
  <si>
    <t>https://doi.org/10.1021/acs.joc.5c00741.s010</t>
  </si>
  <si>
    <t>https://doi.org/10.1021/acs.joc.5c00741</t>
  </si>
  <si>
    <t>https://acs.figshare.com/articles/dataset/Photocyclization_of_8_Aryloxybenzo_i_e_i_1_2_4_triazines_Revisited_Unambiguous_Structural_Assignment_of_Planar_Blatter_Radicals_by_Correlation_NMR_Spectroscopy/29429338</t>
  </si>
  <si>
    <t>https://doi.org/10.1021/acs.joc.5c00741.s009</t>
  </si>
  <si>
    <t>https://acs.figshare.com/articles/dataset/Photocyclization_of_8_Aryloxybenzo_i_e_i_1_2_4_triazines_Revisited_Unambiguous_Structural_Assignment_of_Planar_Blatter_Radicals_by_Correlation_NMR_Spectroscopy/29429335</t>
  </si>
  <si>
    <t>https://doi.org/10.1021/acs.joc.5c00741.s008</t>
  </si>
  <si>
    <t>https://acs.figshare.com/articles/dataset/Photocyclization_of_8_Aryloxybenzo_i_e_i_1_2_4_triazines_Revisited_Unambiguous_Structural_Assignment_of_Planar_Blatter_Radicals_by_Correlation_NMR_Spectroscopy/29429332</t>
  </si>
  <si>
    <t>https://doi.org/10.1021/acs.joc.5c00741.s007</t>
  </si>
  <si>
    <t>https://acs.figshare.com/articles/dataset/Photocyclization_of_8_Aryloxybenzo_i_e_i_1_2_4_triazines_Revisited_Unambiguous_Structural_Assignment_of_Planar_Blatter_Radicals_by_Correlation_NMR_Spectroscopy/29429329</t>
  </si>
  <si>
    <t>https://doi.org/10.1021/acs.joc.5c00741.s006</t>
  </si>
  <si>
    <t>https://acs.figshare.com/articles/dataset/Photocyclization_of_8_Aryloxybenzo_i_e_i_1_2_4_triazines_Revisited_Unambiguous_Structural_Assignment_of_Planar_Blatter_Radicals_by_Correlation_NMR_Spectroscopy/29429326</t>
  </si>
  <si>
    <t>https://doi.org/10.1021/acs.joc.5c00741.s005</t>
  </si>
  <si>
    <t>https://acs.figshare.com/articles/dataset/Photocyclization_of_8_Aryloxybenzo_i_e_i_1_2_4_triazines_Revisited_Unambiguous_Structural_Assignment_of_Planar_Blatter_Radicals_by_Correlation_NMR_Spectroscopy/29429323</t>
  </si>
  <si>
    <t>https://doi.org/10.1021/acs.joc.5c00741.s004</t>
  </si>
  <si>
    <t>https://acs.figshare.com/articles/dataset/Photocyclization_of_8_Aryloxybenzo_i_e_i_1_2_4_triazines_Revisited_Unambiguous_Structural_Assignment_of_Planar_Blatter_Radicals_by_Correlation_NMR_Spectroscopy/29429320</t>
  </si>
  <si>
    <t>https://doi.org/10.1021/acs.joc.5c00741.s003</t>
  </si>
  <si>
    <t>https://acs.figshare.com/articles/dataset/Photocyclization_of_8_Aryloxybenzo_i_e_i_1_2_4_triazines_Revisited_Unambiguous_Structural_Assignment_of_Planar_Blatter_Radicals_by_Correlation_NMR_Spectroscopy/29429317</t>
  </si>
  <si>
    <t>https://doi.org/10.1021/acs.joc.5c00741.s002</t>
  </si>
  <si>
    <t>https://acs.figshare.com/articles/dataset/Photocyclization_of_8_Aryloxybenzo_i_e_i_1_2_4_triazines_Revisited_Unambiguous_Structural_Assignment_of_Planar_Blatter_Radicals_by_Correlation_NMR_Spectroscopy/29429314</t>
  </si>
  <si>
    <t>https://doi.org/10.1021/acs.joc.5c00741.s001</t>
  </si>
  <si>
    <t>https://acs.figshare.com/articles/dataset/Chan-Evans-Lam_Cu_II_-Catalyzed_C_O_Cross-Couplings_Broadening_Synthetic_Access_to_Functionalized_Vinylic_Ethers/29424327</t>
  </si>
  <si>
    <t>https://doi.org/10.1021/acs.orglett.5c01966.s002</t>
  </si>
  <si>
    <t>https://doi.org/10.1021/acs.orglett.5c01966</t>
  </si>
  <si>
    <t>https://acs.figshare.com/articles/dataset/Fungal_Sulfotransferase_from_i_Metarhizium_majus_i_Catalyzes_the_Formation_of_i_PPZ_i_Pathway_Intermediate_Peramine-8_i_O_i_sulfate/29410327</t>
  </si>
  <si>
    <t>https://doi.org/10.1021/acs.orglett.5c02284.s001</t>
  </si>
  <si>
    <t>https://doi.org/10.1021/acs.orglett.5c02284</t>
  </si>
  <si>
    <t>https://acs.figshare.com/articles/dataset/Further_Confirmation_of_the_Structure_of_3_-_2-Pyridyldithio_-3_-deoxyadenosine_and_3_-Thio-3_-deoxyadenosine_Synthetic_Convergence_with_Cordycepin/29401078</t>
  </si>
  <si>
    <t>https://doi.org/10.1021/acs.joc.5c00954.s002</t>
  </si>
  <si>
    <t>https://doi.org/10.1021/acs.joc.5c00954</t>
  </si>
  <si>
    <t>https://acs.figshare.com/articles/dataset/Blue-Light-Irradiated_Copper-Catalyzed_Regio-tunable_Double_C_H_C_H_Cross-Coupling_Reaction_A_Sustainable_Approach_to_Construct_i_C_i_sub_2_sub_Indolyl-1_4-naphthoquinones/29390968</t>
  </si>
  <si>
    <t>https://doi.org/10.1021/acs.joc.5c00513.s002</t>
  </si>
  <si>
    <t>https://doi.org/10.1021/acs.joc.5c00513</t>
  </si>
  <si>
    <t>https://acs.figshare.com/articles/dataset/Synthesis_and_Characterization_of_Atropdiastereomeric_Macrocyclic_Metacyclophanes/29379768</t>
  </si>
  <si>
    <t>https://doi.org/10.1021/acs.orglett.5c02041.s002</t>
  </si>
  <si>
    <t>Synthesis and Characterization of Atropdiastereomeric Macrocyclic Metacyclophanes</t>
  </si>
  <si>
    <t>https://doi.org/10.1021/acs.orglett.5c02041</t>
  </si>
  <si>
    <t>https://acs.figshare.com/articles/dataset/Electrochemical_Functionalization_of_Alkenes_with_1_3-Dicarbonyl_Compounds_via_Radical_Addition/29374730</t>
  </si>
  <si>
    <t>https://doi.org/10.1021/acs.orglett.5c01237.s002</t>
  </si>
  <si>
    <t>Electrochemical Functionalization of Alkenes with 1,3-Dicarbonyl Compounds via Radical Addition</t>
  </si>
  <si>
    <t>https://doi.org/10.1021/acs.orglett.5c01237</t>
  </si>
  <si>
    <t>https://acs.figshare.com/articles/dataset/The_Mechanism_of_the_Rappe_Rearrangement_A_Stereochemical_Investigation_Using_Density_Functional_Theory/29371934</t>
  </si>
  <si>
    <t>https://doi.org/10.1021/acs.joc.5c00726.s001</t>
  </si>
  <si>
    <t>https://doi.org/10.1021/acs.joc.5c00726</t>
  </si>
  <si>
    <t>https://acs.figshare.com/articles/dataset/Regioselective_Synthesis_of_i_E_i_3-_Alkylamino_methylene_-2-thioxothiochroman-4-one_Derivatives_and_Their_Regioselective_Cycloaddition_with_Alkynes/29366711</t>
  </si>
  <si>
    <t>https://doi.org/10.1021/acs.joc.5c00156.s002</t>
  </si>
  <si>
    <t>https://doi.org/10.1021/acs.joc.5c00156</t>
  </si>
  <si>
    <t>https://acs.figshare.com/articles/dataset/_Truncation_of_a_Parent_Nanographene_Chirally_Twisted_Green_Fluorophores/29361006</t>
  </si>
  <si>
    <t>https://doi.org/10.1021/acs.orglett.5c01902.s002</t>
  </si>
  <si>
    <t>https://doi.org/10.1021/acs.orglett.5c01902</t>
  </si>
  <si>
    <t>https://acs.figshare.com/articles/dataset/Triplet_Ketone_Catalysis-Enabled_Functionalization_of_Thioanisoles_with_Maleimides/29350585</t>
  </si>
  <si>
    <t>https://doi.org/10.1021/acs.joc.5c00794.s002</t>
  </si>
  <si>
    <t>Triplet Ketone Catalysis-Enabled Functionalization of Thioanisoles with Maleimides</t>
  </si>
  <si>
    <t>https://doi.org/10.1021/acs.joc.5c00794</t>
  </si>
  <si>
    <t>https://acs.figshare.com/articles/dataset/General_Strategy_to_Access_i_N_i_Aryl_Heptamethine_Indocyanines_for_Optical_Tuning/29346699</t>
  </si>
  <si>
    <t>https://doi.org/10.1021/acs.orglett.5c01936.s001</t>
  </si>
  <si>
    <t>https://doi.org/10.1021/acs.orglett.5c01936</t>
  </si>
  <si>
    <t>https://acs.figshare.com/articles/dataset/Isolation_and_Computer-Based_Structural_Determination_of_Madangolide_B/29341064</t>
  </si>
  <si>
    <t>https://doi.org/10.1021/acs.orglett.5c01955.s002</t>
  </si>
  <si>
    <t>Isolation and Computer-Based Structural Determination of Madangolide B</t>
  </si>
  <si>
    <t>https://doi.org/10.1021/acs.orglett.5c01955</t>
  </si>
  <si>
    <t>https://acs.figshare.com/articles/dataset/Synthesis_of_8_i_H_i_Indolo_3_2_1-_i_de_i_phenanthridin-8-ones_via_Pd_OAc_sub_2_sub_Catalyzed_Double_Oxidative_Coupling_Dehydrogenations/29298908</t>
  </si>
  <si>
    <t>https://doi.org/10.1021/acs.orglett.5c01472.s002</t>
  </si>
  <si>
    <t>https://doi.org/10.1021/acs.orglett.5c01472</t>
  </si>
  <si>
    <t>https://acs.figshare.com/articles/dataset/Inhibited_Hydrolysis_of_4_i_N_i_i_N_i_Dimethylamino_aryl_Imines_in_a_Weak_Acid_by_Supramolecular_Encapsulation_inside_Cucurbit_7_uril/29286434</t>
  </si>
  <si>
    <t>https://doi.org/10.1021/acs.joc.5c00774.s002</t>
  </si>
  <si>
    <t>https://doi.org/10.1021/acs.joc.5c00774</t>
  </si>
  <si>
    <t>https://acs.figshare.com/articles/dataset/Synthesis_of_2_Hydroxycarbazoles_via_Rh_III_-Catalyzed_Cascade_Cyclization_of_Indolyl_Nitrones_with_Alkylidenecyclopropanes/29279950</t>
  </si>
  <si>
    <t>https://doi.org/10.1021/acs.joc.5c01002.s001</t>
  </si>
  <si>
    <t>https://doi.org/10.1021/acs.joc.5c01002</t>
  </si>
  <si>
    <t>https://acs.figshare.com/articles/dataset/Distinct_Selectivity_of_2_Aryl_Thioquinazolinones_in_the_Sulfur_Directing_Rh_III_-Catalyzed_Amidation_Reaction/29275717</t>
  </si>
  <si>
    <t>https://doi.org/10.1021/acs.joc.5c00952.s002</t>
  </si>
  <si>
    <t>https://doi.org/10.1021/acs.joc.5c00952</t>
  </si>
  <si>
    <t>https://acs.figshare.com/articles/dataset/Further_Mechanistic_Investigations_into_the_Blue_Light-Driven_O_H_Functionalization_of_Alcohols_by_Aryldiazoacetates/29274593</t>
  </si>
  <si>
    <t>https://doi.org/10.1021/acs.joc.5c00614.s004</t>
  </si>
  <si>
    <t>https://doi.org/10.1021/acs.joc.5c00614</t>
  </si>
  <si>
    <t>https://acs.figshare.com/articles/dataset/Further_Mechanistic_Investigations_into_the_Blue_Light-Driven_O_H_Functionalization_of_Alcohols_by_Aryldiazoacetates/29274590</t>
  </si>
  <si>
    <t>https://doi.org/10.1021/acs.joc.5c00614.s003</t>
  </si>
  <si>
    <t>https://acs.figshare.com/articles/dataset/Further_Mechanistic_Investigations_into_the_Blue_Light-Driven_O_H_Functionalization_of_Alcohols_by_Aryldiazoacetates/29274587</t>
  </si>
  <si>
    <t>https://doi.org/10.1021/acs.joc.5c00614.s002</t>
  </si>
  <si>
    <t>https://acs.figshare.com/articles/dataset/Ru_II_-Catalyzed_Reactions_of_i_ortho_i_-Hydroxy_Enaminones_with_Diazonaphthoquinones_Synthesis_of_Unsymmetrical_Biaryl_Diols/29257541</t>
  </si>
  <si>
    <t>https://doi.org/10.1021/acs.orglett.5c01576.s002</t>
  </si>
  <si>
    <t>Ru(II)-Catalyzed Reactions of ortho-Hydroxy Enaminones with Diazonaphthoquinones: Synthesis of Unsymmetrical Biaryl Diols</t>
  </si>
  <si>
    <t>https://doi.org/10.1021/acs.orglett.5c01576</t>
  </si>
  <si>
    <t>https://acs.figshare.com/articles/dataset/Palladium_Catalyst-Controlled_Regiodivergent_C_H_Arylation_of_Thiazoles/29255810</t>
  </si>
  <si>
    <t>https://doi.org/10.1021/acs.joc.5c00184.s002</t>
  </si>
  <si>
    <t>https://doi.org/10.1021/acs.joc.5c00184</t>
  </si>
  <si>
    <t>https://acs.figshare.com/articles/dataset/Chalcogen_Bonding_with_Telluronium_Cations_toward_Selective_Population_of_Tellurium_Holes_by_Lewis_Bases/29254214</t>
  </si>
  <si>
    <t>https://doi.org/10.1021/acs.joc.5c00744.s002</t>
  </si>
  <si>
    <t>https://doi.org/10.1021/acs.joc.5c00744</t>
  </si>
  <si>
    <t>https://acs.figshare.com/articles/dataset/Manganese_Complex-Catalyzed_De_hydrogenative_Cyclization_toward_the_Selective_Synthesis_of_2_Substituted_and_2_3-Disubstituted_4_Quinolones/29242965</t>
  </si>
  <si>
    <t>https://doi.org/10.1021/acs.orglett.5c01721.s002</t>
  </si>
  <si>
    <t>https://doi.org/10.1021/acs.orglett.5c01721</t>
  </si>
  <si>
    <t>https://acs.figshare.com/articles/dataset/Total_Synthesis_of_-Streptoglyceride_A_and_of_Putative_-Streptoglyceride_C/29242959</t>
  </si>
  <si>
    <t>https://doi.org/10.1021/acs.orglett.5c00879.s002</t>
  </si>
  <si>
    <t>https://doi.org/10.1021/acs.orglett.5c00879</t>
  </si>
  <si>
    <t>https://acs.figshare.com/articles/dataset/Reaction_Profile_Forecasting_by_Artificial_Data_Generation_for_Wittig-Type_Geminal_Bromofluoroolefination/29232576</t>
  </si>
  <si>
    <t>https://doi.org/10.1021/acs.orglett.5c01196.s002</t>
  </si>
  <si>
    <t>Reaction Profile Forecasting by Artificial Data Generation for Wittig-Type Geminal Bromofluoroolefination</t>
  </si>
  <si>
    <t>https://doi.org/10.1021/acs.orglett.5c01196</t>
  </si>
  <si>
    <t>https://acs.figshare.com/articles/dataset/Synthesis_of_Parent_Peropyrene_and_Its_Derivatization/29216766</t>
  </si>
  <si>
    <t>https://doi.org/10.1021/acs.orglett.5c01172.s002</t>
  </si>
  <si>
    <t>Synthesis of Parent Peropyrene and Its Derivatization</t>
  </si>
  <si>
    <t>https://doi.org/10.1021/acs.orglett.5c01172</t>
  </si>
  <si>
    <t>https://acs.figshare.com/articles/dataset/Slice-Selective_NMR_for_Quantitative_Analysis_of_Liquid_Liquid_Biphasic_Systems_A_Tool_for_Organic_Chemists/29210499</t>
  </si>
  <si>
    <t>https://doi.org/10.1021/acs.joc.5c00717.s002</t>
  </si>
  <si>
    <t>https://doi.org/10.1021/acs.joc.5c00717</t>
  </si>
  <si>
    <t>https://acs.figshare.com/articles/dataset/Loading_Thiacorrole_with_Various_Aromatic_Rings_Enhanced_NIR_Absorption_and_Improved_OER_Activity/29205405</t>
  </si>
  <si>
    <t>https://doi.org/10.1021/acs.orglett.5c01666.s003</t>
  </si>
  <si>
    <t>Loading Thiacorrole with Various Aromatic Rings: Enhanced NIR Absorption and Improved OER Activity</t>
  </si>
  <si>
    <t>https://doi.org/10.1021/acs.orglett.5c01666</t>
  </si>
  <si>
    <t>https://acs.figshare.com/articles/dataset/Rise_of_Ketone_Hydrolysis_Revisiting_S_sub_N_sub_Acyl_E1cB_Mechanisms_and_Carbon-Based_Leaving_Groups_in_One_Reaction_for_Drug-Targeting_Applications/29198281</t>
  </si>
  <si>
    <t>https://doi.org/10.1021/acs.joc.5c00161.s002</t>
  </si>
  <si>
    <t>https://doi.org/10.1021/acs.joc.5c00161</t>
  </si>
  <si>
    <t>https://acs.figshare.com/articles/dataset/Scalable_Photoinduced_Cycloaddition_for_the_Synthesis_of_Biorelevant_Oxazoles/29191681</t>
  </si>
  <si>
    <t>https://doi.org/10.1021/acs.orglett.5c01713.s002</t>
  </si>
  <si>
    <t>Scalable Photoinduced Cycloaddition for the Synthesis of Biorelevant Oxazoles</t>
  </si>
  <si>
    <t>https://doi.org/10.1021/acs.orglett.5c01713</t>
  </si>
  <si>
    <t>https://acs.figshare.com/articles/dataset/P_O_Me_sub_2_sub_Alkenes_From_Synthesis_to_Applications/29189710</t>
  </si>
  <si>
    <t>https://doi.org/10.1021/acs.orglett.5c01805.s002</t>
  </si>
  <si>
    <t>https://doi.org/10.1021/acs.orglett.5c01805</t>
  </si>
  <si>
    <t>https://acs.figshare.com/articles/dataset/Synthesis_of_Octatrimethylsilyl-_8_cycloparaphenylene_for_Multifunctionalized_Cycloparaphenylene/29175258</t>
  </si>
  <si>
    <t>https://doi.org/10.1021/acs.joc.5c00521.s001</t>
  </si>
  <si>
    <t>Synthesis of Octatrimethylsilyl-[8]cycloparaphenylene for Multifunctionalized Cycloparaphenylene</t>
  </si>
  <si>
    <t>https://doi.org/10.1021/acs.joc.5c00521</t>
  </si>
  <si>
    <t>https://acs.figshare.com/articles/dataset/Deconstruction_of_Desacetamidocolchicine_s_B_Ring_Reveals_a_Class_3_Atropisomeric_AC_Ring_with_Tubulin_Binding_Properties/29154935</t>
  </si>
  <si>
    <t>https://doi.org/10.1021/acs.joc.5c00284.s004</t>
  </si>
  <si>
    <t>https://doi.org/10.1021/acs.joc.5c00284</t>
  </si>
  <si>
    <t>https://acs.figshare.com/articles/dataset/Deconstruction_of_Desacetamidocolchicine_s_B_Ring_Reveals_a_Class_3_Atropisomeric_AC_Ring_with_Tubulin_Binding_Properties/29154932</t>
  </si>
  <si>
    <t>https://doi.org/10.1021/acs.joc.5c00284.s003</t>
  </si>
  <si>
    <t>https://acs.figshare.com/articles/dataset/Design_of_Fast_Redox-Controlled_Self-Immolative_Selenium-Based_Cysteine_Surrogates/29136385</t>
  </si>
  <si>
    <t>https://doi.org/10.1021/acs.orglett.5c01514.s002</t>
  </si>
  <si>
    <t>Design of Fast Redox-Controlled Self-Immolative Selenium-Based Cysteine Surrogates</t>
  </si>
  <si>
    <t>https://doi.org/10.1021/acs.orglett.5c01514</t>
  </si>
  <si>
    <t>https://acs.figshare.com/articles/dataset/Cu_I_-Catalyzed_Stereoselective_Glycosylation_of_Electron-Deficient_Glycals/29115227</t>
  </si>
  <si>
    <t>https://doi.org/10.1021/acs.joc.5c00172.s002</t>
  </si>
  <si>
    <t>https://doi.org/10.1021/acs.joc.5c00172</t>
  </si>
  <si>
    <t>https://acs.figshare.com/articles/dataset/Examining_Kinetics_and_Product_Inhibition_in_the_Catalytic_Intramolecular_Schmidt_Reaction/29119804</t>
  </si>
  <si>
    <t>https://doi.org/10.1021/acs.joc.5c00353.s003</t>
  </si>
  <si>
    <t>Examining Kinetics and Product Inhibition in the Catalytic Intramolecular Schmidt Reaction</t>
  </si>
  <si>
    <t>https://doi.org/10.1021/acs.joc.5c00353</t>
  </si>
  <si>
    <t>https://acs.figshare.com/articles/dataset/Examining_Kinetics_and_Product_Inhibition_in_the_Catalytic_Intramolecular_Schmidt_Reaction/29119801</t>
  </si>
  <si>
    <t>https://doi.org/10.1021/acs.joc.5c00353.s002</t>
  </si>
  <si>
    <t>https://acs.figshare.com/articles/dataset/Reversibility_and_Enantioselectivity_of_Palladium-Catalyzed_Allylic_Aminations_Ligand_Base-Additive_and_Solvent_Effects/29111404</t>
  </si>
  <si>
    <t>https://doi.org/10.1021/acs.joc.5c00606.s002</t>
  </si>
  <si>
    <t>Reversibility and Enantioselectivity of Palladium-Catalyzed Allylic Aminations: Ligand, Base-Additive, and Solvent Effects</t>
  </si>
  <si>
    <t>https://doi.org/10.1021/acs.joc.5c00606</t>
  </si>
  <si>
    <t>https://acs.figshare.com/articles/dataset/Ni_Pd_Dual-Catalysis_Strategy_for_C_sp_sup_2_sup_Sb_Cross-Coupling_of_Halostibines_with_Aryl_Triflates_and_Applications_of_Products_as_Coupling_Reagents_Ligands_and_Anticancer_Compounds/29104990</t>
  </si>
  <si>
    <t>https://doi.org/10.1021/acs.joc.5c00613.s002</t>
  </si>
  <si>
    <t>https://doi.org/10.1021/acs.joc.5c00613</t>
  </si>
  <si>
    <t>https://acs.figshare.com/articles/dataset/Synthesis_of_3_6-Dihydro_2_i_H_i_thiopyrans_from_Diazo-_-diketones_and_Vinylthiiranes_via_5_1_Annulation/29092850</t>
  </si>
  <si>
    <t>https://doi.org/10.1021/acs.joc.5c00330.s003</t>
  </si>
  <si>
    <t>https://doi.org/10.1021/acs.joc.5c00330</t>
  </si>
  <si>
    <t>https://acs.figshare.com/articles/dataset/Synthesis_of_3_6-Dihydro_2_i_H_i_thiopyrans_from_Diazo-_-diketones_and_Vinylthiiranes_via_5_1_Annulation/29092847</t>
  </si>
  <si>
    <t>https://doi.org/10.1021/acs.joc.5c00330.s002</t>
  </si>
  <si>
    <t>https://acs.figshare.com/articles/dataset/Quantification_of_the_H_Bond-Donating_Ability_of_Trifluoromethyl_Ketone_Hydrates_Using_a_Colorimetric_Sensor/29082666</t>
  </si>
  <si>
    <t>https://doi.org/10.1021/acs.joc.4c03046.s003</t>
  </si>
  <si>
    <t>https://doi.org/10.1021/acs.joc.4c03046</t>
  </si>
  <si>
    <t>https://acs.figshare.com/articles/dataset/Quantification_of_the_H_Bond-Donating_Ability_of_Trifluoromethyl_Ketone_Hydrates_Using_a_Colorimetric_Sensor/29082663</t>
  </si>
  <si>
    <t>https://doi.org/10.1021/acs.joc.4c03046.s002</t>
  </si>
  <si>
    <t>https://acs.figshare.com/articles/dataset/Bioinspired_Stereoselective_Total_Synthesis_of_the_Caged_Sesquiterpenoid_Daphnepapytone_A/29072615</t>
  </si>
  <si>
    <t>https://doi.org/10.1021/acs.orglett.5c01509.s002</t>
  </si>
  <si>
    <t>Bioinspired Stereoselective Total Synthesis of the Caged Sesquiterpenoid Daphnepapytone A</t>
  </si>
  <si>
    <t>https://doi.org/10.1021/acs.orglett.5c01509</t>
  </si>
  <si>
    <t>https://acs.figshare.com/articles/dataset/Photoinduced_Regio-_and_Stereoselective_Hydrotrifluoromethylation_of_Glycals_with_Langlois_Reagent/29053953</t>
  </si>
  <si>
    <t>https://doi.org/10.1021/acs.joc.5c00193.s002</t>
  </si>
  <si>
    <t>Photoinduced Regio- and Stereoselective Hydrotrifluoromethylation of Glycals with Langlois Reagent</t>
  </si>
  <si>
    <t>https://doi.org/10.1021/acs.joc.5c00193</t>
  </si>
  <si>
    <t>https://acs.figshare.com/articles/dataset/In_Situ_Generation_and_3_2_Annulation_Reactions_of_Propiolaldehyde_A_Metal-Free_Cascade_Route_to_Pyrazole_and_Bipyrazole_Carboxaldehydes_in_One_Pot/28950839</t>
  </si>
  <si>
    <t>https://doi.org/10.1021/acs.joc.5c00246.s002</t>
  </si>
  <si>
    <t>https://doi.org/10.1021/acs.joc.5c00246</t>
  </si>
  <si>
    <t>https://acs.figshare.com/articles/dataset/Synthesis_of_Sulfonylthiophenes_through_3_2_Cycloaddition_of_Pyridinium_1_4-Zwitterionic_Thiolates_with_i_E_i_-Iodovinyl_Sulfones_or_Bromoallylsulfones/28945656</t>
  </si>
  <si>
    <t>https://doi.org/10.1021/acs.joc.5c00188.s001</t>
  </si>
  <si>
    <t>https://doi.org/10.1021/acs.joc.5c00188</t>
  </si>
  <si>
    <t>https://acs.figshare.com/articles/dataset/Factors_Influencing_the_Product_Selectivity_of_Rh_sub_2_sub_OAc_sub_4_sub_Catalyzed_Reactions_of_Diazoketones_with_Aziridines/28945120</t>
  </si>
  <si>
    <t>https://doi.org/10.1021/acs.joc.5c00410.s002</t>
  </si>
  <si>
    <t>https://doi.org/10.1021/acs.joc.5c00410</t>
  </si>
  <si>
    <t>https://acs.figshare.com/articles/dataset/3_3-Bis_hydroxyaryl_oxindoles_and_Spirooxindoles_Bearing_a_Xanthene_Moiety_Synthesis_Mechanism_and_Biological_Activity/28945099</t>
  </si>
  <si>
    <t>https://doi.org/10.1021/acs.joc.5c00270.s002</t>
  </si>
  <si>
    <t>3,3-Bis(hydroxyaryl)oxindoles and Spirooxindoles Bearing a Xanthene Moiety: Synthesis, Mechanism, and Biological Activity</t>
  </si>
  <si>
    <t>https://doi.org/10.1021/acs.joc.5c00270</t>
  </si>
  <si>
    <t>https://acs.figshare.com/articles/dataset/Ce_OTf_sub_3_sub_Catalyzed_Asymmetric_6_Cyclization_of_Triaryldivinyl_Ketones/28914375</t>
  </si>
  <si>
    <t>https://doi.org/10.1021/acs.orglett.5c01081.s003</t>
  </si>
  <si>
    <t>https://doi.org/10.1021/acs.orglett.5c01081</t>
  </si>
  <si>
    <t>https://acs.figshare.com/articles/dataset/Ce_OTf_sub_3_sub_Catalyzed_Asymmetric_6_Cyclization_of_Triaryldivinyl_Ketones/28914372</t>
  </si>
  <si>
    <t>https://doi.org/10.1021/acs.orglett.5c01081.s002</t>
  </si>
  <si>
    <t>https://acs.figshare.com/articles/dataset/Quinol_Enedione_Rearrangement/28903551</t>
  </si>
  <si>
    <t>https://doi.org/10.1021/acs.orglett.5c01266.s002</t>
  </si>
  <si>
    <t>https://doi.org/10.1021/acs.orglett.5c01266</t>
  </si>
  <si>
    <t>https://acs.figshare.com/articles/dataset/Total_Synthesis_of_the_i_Melodinus_i_Alkaloid_-Melohemsine_K/28870939</t>
  </si>
  <si>
    <t>https://doi.org/10.1021/acs.joc.5c00545.s002</t>
  </si>
  <si>
    <t>https://doi.org/10.1021/acs.joc.5c00545</t>
  </si>
  <si>
    <t>https://acs.figshare.com/articles/dataset/Nitroalkanes_as_Ketone_Synthetic_Equivalents_in_C_N_and_C_S_Bond_Formation_Reactions/28861530</t>
  </si>
  <si>
    <t>https://doi.org/10.1021/acs.orglett.5c00948.s002</t>
  </si>
  <si>
    <t>https://doi.org/10.1021/acs.orglett.5c00948</t>
  </si>
  <si>
    <t>https://acs.figshare.com/articles/dataset/PhICl_sub_2_sub_KSeCN_Mediated_Synthesis_of_Selenopheno_3_2_i_b_i_indoles_and_3_Selenocyanato-2-benzoselenophene_Indoles_from_1_3-Diynes_via_Double_Electrophilic_Cyclization/28852227</t>
  </si>
  <si>
    <t>https://doi.org/10.1021/acs.joc.4c03180.s002</t>
  </si>
  <si>
    <t>https://doi.org/10.1021/acs.joc.4c03180</t>
  </si>
  <si>
    <t>https://acs.figshare.com/articles/dataset/Visible-Light-Driven_Tandem_Cyclization_of_i_o_i_Hydroxyaryl_Enaminones_Access_to_3_-Arylsulfonamido_trifluoroethyl_Chromones/28840824</t>
  </si>
  <si>
    <t>https://doi.org/10.1021/acs.joc.5c00424.s002</t>
  </si>
  <si>
    <t>https://doi.org/10.1021/acs.joc.5c00424</t>
  </si>
  <si>
    <t>https://acs.figshare.com/articles/dataset/_i_N_i_Heterocyclic_Carbene-Carbodiimide_NHC-CDI_Adducts_A_Systematic_Investigation_of_Electronic_Modifications_on_Kinetic_and_Thermodynamic_Properties_of_Adduct_Association_and_Dissociation/28830707</t>
  </si>
  <si>
    <t>https://doi.org/10.1021/acs.joc.5c00225.s002</t>
  </si>
  <si>
    <t>https://doi.org/10.1021/acs.joc.5c00225</t>
  </si>
  <si>
    <t>https://acs.figshare.com/articles/dataset/Asymmetric_and_Symmetric_S-_i_zig-zag_i_-Fused_BODIPYs_Synthesis_and_Photophysical_and_Oxidative_Properties/28826770</t>
  </si>
  <si>
    <t>https://doi.org/10.1021/acs.joc.5c00508.s001</t>
  </si>
  <si>
    <t>Asymmetric and Symmetric S-zig-zag-Fused BODIPYs: Synthesis and Photophysical and Oxidative Properties</t>
  </si>
  <si>
    <t>https://doi.org/10.1021/acs.joc.5c00508</t>
  </si>
  <si>
    <t>https://acs.figshare.com/articles/dataset/A_Flash_Conversion_to_Aromatic_Azo_Compounds_Expedited_by_Hydrazine_Trifluoroacetate_Hydrogen_Bonding/28818305</t>
  </si>
  <si>
    <t>https://doi.org/10.1021/acs.orglett.5c00841.s002</t>
  </si>
  <si>
    <t>https://doi.org/10.1021/acs.orglett.5c00841</t>
  </si>
  <si>
    <t>https://acs.figshare.com/articles/dataset/Synthesis_of_Phenanthrenes_and_Naphthoquinone_Fused_Benzoxepines_via_Hauser_Kraus_Annulation_of_Sulfonylphthalide_with_Morita_Baylis_Hillman_Adducts_of_Nitroalkenes/28795867</t>
  </si>
  <si>
    <t>https://doi.org/10.1021/acs.joc.5c00189.s002</t>
  </si>
  <si>
    <t>https://doi.org/10.1021/acs.joc.5c00189</t>
  </si>
  <si>
    <t>https://acs.figshare.com/articles/dataset/Synthesis_of_Dithioester_Derivatives_by_Base-Mediated_Fragmentation_of_1_3-Dithiolanes/28788390</t>
  </si>
  <si>
    <t>https://doi.org/10.1021/acs.orglett.5c00666.s004</t>
  </si>
  <si>
    <t>Synthesis of Dithioester Derivatives by Base-Mediated Fragmentation of 1,3-Dithiolanes</t>
  </si>
  <si>
    <t>https://doi.org/10.1021/acs.orglett.5c00666</t>
  </si>
  <si>
    <t>https://acs.figshare.com/articles/dataset/Synthesis_of_Dithioester_Derivatives_by_Base-Mediated_Fragmentation_of_1_3-Dithiolanes/28788387</t>
  </si>
  <si>
    <t>https://doi.org/10.1021/acs.orglett.5c00666.s003</t>
  </si>
  <si>
    <t>https://acs.figshare.com/articles/dataset/Synthesis_of_Dithioester_Derivatives_by_Base-Mediated_Fragmentation_of_1_3-Dithiolanes/28788384</t>
  </si>
  <si>
    <t>https://doi.org/10.1021/acs.orglett.5c00666.s002</t>
  </si>
  <si>
    <t>https://acs.figshare.com/articles/dataset/A_Mechanistic_Perspective_on_Photocatalytic_EnT-Enabled_C3-N-Heteroarylation_of_Aryl_Quinoxaline_via_C_sp_sup_2_sup_C_sp_sup_2_sup_Coupling/28778314</t>
  </si>
  <si>
    <t>https://doi.org/10.1021/acs.orglett.5c00933.s001</t>
  </si>
  <si>
    <t>https://doi.org/10.1021/acs.orglett.5c00933</t>
  </si>
  <si>
    <t>https://acs.figshare.com/articles/dataset/CAN-Mediated_Synthesis_of_2_Deoxy_Sugars_Access_to_Chiral_2_Deoxy_3_Bisindolyl_i_C_i_glycosides/28756970</t>
  </si>
  <si>
    <t>https://doi.org/10.1021/acs.orglett.5c00976.s002</t>
  </si>
  <si>
    <t>https://doi.org/10.1021/acs.orglett.5c00976</t>
  </si>
  <si>
    <t>https://acs.figshare.com/articles/dataset/Hydrogen_Atom_Transfer-Based_C_sp_sup_3_sup_H_Bond_Oxygenation_of_Lactams_and_Cycloalkenes_The_Influence_of_Ring_Size_on_Reactivity_and_Site_Selectivity/28742151</t>
  </si>
  <si>
    <t>https://doi.org/10.1021/acs.joc.5c00092.s002</t>
  </si>
  <si>
    <t>https://doi.org/10.1021/acs.joc.5c00092</t>
  </si>
  <si>
    <t>https://acs.figshare.com/articles/dataset/Base-Assisted_and_Silica_Gel-Promoted_Indole-Substituted_Indene_Synthesis/28711997</t>
  </si>
  <si>
    <t>https://doi.org/10.1021/acs.joc.5c00316.s002</t>
  </si>
  <si>
    <t>Base-Assisted and Silica Gel-Promoted Indole-Substituted Indene Synthesis</t>
  </si>
  <si>
    <t>https://doi.org/10.1021/acs.joc.5c00316</t>
  </si>
  <si>
    <t>https://acs.figshare.com/articles/dataset/Sodium_Poly_heptazine_imide_-Enabled_Oxytrifluoromethylation_of_Alkenes_for_the_Synthesis_of_CF_sub_3_sub_Ketones/28690645</t>
  </si>
  <si>
    <t>https://doi.org/10.1021/acs.joc.5c00117.s002</t>
  </si>
  <si>
    <t>https://doi.org/10.1021/acs.joc.5c00117</t>
  </si>
  <si>
    <t>https://acs.figshare.com/articles/dataset/Fe_Mn-Synergistic_Promoted_C_sp_sup_3_sup_Bi_Cross-Coupling_of_Alkyl_Chlorides_with_Chlorobismuthanes_to_Access_Air-Stable_Alkylbismuthanes/28684420</t>
  </si>
  <si>
    <t>https://doi.org/10.1021/acs.orglett.5c00623.s002</t>
  </si>
  <si>
    <t>https://doi.org/10.1021/acs.orglett.5c00623</t>
  </si>
  <si>
    <t>https://acs.figshare.com/articles/dataset/A_Route_to_the_Mild_Synthesis_of_Selenomethylketones_via_Vinyl_Azides/28681228</t>
  </si>
  <si>
    <t>https://doi.org/10.1021/acs.joc.4c03085.s002</t>
  </si>
  <si>
    <t>https://doi.org/10.1021/acs.joc.4c03085</t>
  </si>
  <si>
    <t>https://acs.figshare.com/articles/dataset/Direct_Synthesis_of_Amides_from_Nitro_Compounds_and_Alcohols_via_Borrowing_Hydrogenation/28678442</t>
  </si>
  <si>
    <t>https://doi.org/10.1021/acs.orglett.5c00600.s002</t>
  </si>
  <si>
    <t>Direct Synthesis of Amides from Nitro Compounds and Alcohols via Borrowing Hydrogenation</t>
  </si>
  <si>
    <t>https://doi.org/10.1021/acs.orglett.5c00600</t>
  </si>
  <si>
    <t>https://acs.figshare.com/articles/dataset/_3_2_Annulation_of_Donor_Acceptor_Cyclopropanes_with_Difluoroenoxysilanes_Syntheses_of_i_gem_i_-Difluorocyclopentenes_via_-Difluoroketone_Scaffolds/28675390</t>
  </si>
  <si>
    <t>https://doi.org/10.1021/acs.joc.4c03181.s002</t>
  </si>
  <si>
    <t>https://doi.org/10.1021/acs.joc.4c03181</t>
  </si>
  <si>
    <t>https://acs.figshare.com/articles/dataset/Ring-Size-Dependent_Selectivity_of_the_Hydride_Elimination_in_Heck-Type_Arylations_of_i_exo_i_-Methylene_Cycloketones_Chalcones_versus_2_Benzyl-1-naphthols/28667362</t>
  </si>
  <si>
    <t>https://doi.org/10.1021/acs.joc.4c02089.s002</t>
  </si>
  <si>
    <t>https://doi.org/10.1021/acs.joc.4c02089</t>
  </si>
  <si>
    <t>https://acs.figshare.com/articles/dataset/A_Metal-Catalyzed_Tunable_Reaction_of_Ylides_with_Hydroxylamine_Derivatives/28659970</t>
  </si>
  <si>
    <t>https://doi.org/10.1021/acs.orglett.5c00576.s002</t>
  </si>
  <si>
    <t>A Metal-Catalyzed Tunable Reaction of Ylides with Hydroxylamine Derivatives</t>
  </si>
  <si>
    <t>https://doi.org/10.1021/acs.orglett.5c00576</t>
  </si>
  <si>
    <t>https://acs.figshare.com/articles/dataset/Unlocking_the_Potential_of_CF_sub_3_sub_-Alkynes_in_Gold-Catalyzed_Oxygen_Transfer_A_Direct_Route_to_Trifluoromethylated_Compounds/28652852</t>
  </si>
  <si>
    <t>https://doi.org/10.1021/acs.orglett.5c00995.s002</t>
  </si>
  <si>
    <t>Unlocking the Potential of CF3-Alkynes in Gold-Catalyzed Oxygen Transfer: A Direct Route to Trifluoromethylated Compounds</t>
  </si>
  <si>
    <t>https://doi.org/10.1021/acs.orglett.5c00995</t>
  </si>
  <si>
    <t>https://acs.figshare.com/articles/dataset/Nickel-Catalyzed_One-Pot_H_D_Exchange_and_Asymmetric_Michael_Addition_in_the_Presence_of_D_sub_2_sub_O/28652364</t>
  </si>
  <si>
    <t>https://doi.org/10.1021/acs.joc.4c02860.s001</t>
  </si>
  <si>
    <t>Nickel-Catalyzed One-Pot H/D Exchange and Asymmetric Michael Addition in the Presence of D2O</t>
  </si>
  <si>
    <t>https://doi.org/10.1021/acs.joc.4c02860</t>
  </si>
  <si>
    <t>https://acs.figshare.com/articles/dataset/Carbonyl_vs_Hydroxy_Rhodium_catalyzed_carbonyl_ylide_triggered_diastereoselective_synthesis_of_2_5-methano-1_3-benzoxazepines/28650418</t>
  </si>
  <si>
    <t>https://doi.org/10.1021/acs.orglett.5c00782.s001</t>
  </si>
  <si>
    <t>Carbonyl vs Hydroxy: Rhodium catalyzed carbonyl ylide triggered diastereoselective synthesis of 2,5-methano-1,3-benzoxazepines</t>
  </si>
  <si>
    <t>https://doi.org/10.1021/acs.orglett.5c00782</t>
  </si>
  <si>
    <t>https://acs.figshare.com/articles/dataset/Highly_Stereoselective_2_4_Annulation_of_Phosphenes_and_Enones_with_Electron-Donating_Groups/28643967</t>
  </si>
  <si>
    <t>https://doi.org/10.1021/acs.orglett.5c00711.s003</t>
  </si>
  <si>
    <t>https://doi.org/10.1021/acs.orglett.5c00711</t>
  </si>
  <si>
    <t>https://acs.figshare.com/articles/dataset/Highly_Stereoselective_2_4_Annulation_of_Phosphenes_and_Enones_with_Electron-Donating_Groups/28643964</t>
  </si>
  <si>
    <t>https://doi.org/10.1021/acs.orglett.5c00711.s002</t>
  </si>
  <si>
    <t>https://acs.figshare.com/articles/dataset/Thiazoles_via_Formal_4_1_of_NaSH_to_i_Z_i_Bromoisocyanoalkenes/28641662</t>
  </si>
  <si>
    <t>https://doi.org/10.1021/acs.joc.4c02691.s002</t>
  </si>
  <si>
    <t>https://doi.org/10.1021/acs.joc.4c02691</t>
  </si>
  <si>
    <t>https://acs.figshare.com/articles/dataset/Construction_of_the_Tetracyclic_Skeleton_of_Polycyclic_Norcembranoids_Sinudenoids_B_D_Via_Ireland-Claisen_Rearrangement/28633726</t>
  </si>
  <si>
    <t>https://doi.org/10.1021/acs.joc.5c00317.s004</t>
  </si>
  <si>
    <t>https://doi.org/10.1021/acs.joc.5c00317</t>
  </si>
  <si>
    <t>https://acs.figshare.com/articles/dataset/Construction_of_the_Tetracyclic_Skeleton_of_Polycyclic_Norcembranoids_Sinudenoids_B_D_Via_Ireland-Claisen_Rearrangement/28633723</t>
  </si>
  <si>
    <t>https://doi.org/10.1021/acs.joc.5c00317.s003</t>
  </si>
  <si>
    <t>https://acs.figshare.com/articles/dataset/Construction_of_the_Tetracyclic_Skeleton_of_Polycyclic_Norcembranoids_Sinudenoids_B_D_Via_Ireland-Claisen_Rearrangement/28633720</t>
  </si>
  <si>
    <t>https://doi.org/10.1021/acs.joc.5c00317.s002</t>
  </si>
  <si>
    <t>https://acs.figshare.com/articles/dataset/Heteroarylstilbenes_Visible-Light-Tunable_Photochromic_Systems_in_Water/28633714</t>
  </si>
  <si>
    <t>https://doi.org/10.1021/acs.joc.4c02844.s002</t>
  </si>
  <si>
    <t>Heteroarylstilbenes: Visible-Light-Tunable Photochromic Systems in Water</t>
  </si>
  <si>
    <t>https://doi.org/10.1021/acs.joc.4c02844</t>
  </si>
  <si>
    <t>https://acs.figshare.com/articles/dataset/Generation_and_Use_of_Bicyclo_1_1_0_butyllithium_under_Continuous_Flow_Conditions/28632551</t>
  </si>
  <si>
    <t>https://doi.org/10.1021/acs.orglett.5c00705.s002</t>
  </si>
  <si>
    <t>Generation and Use of Bicyclo[1.1.0]butyllithium under Continuous Flow Conditions</t>
  </si>
  <si>
    <t>https://doi.org/10.1021/acs.orglett.5c00705</t>
  </si>
  <si>
    <t>https://acs.figshare.com/articles/dataset/Photoinduced_Cascade_Synthesis_of_Oxindoles_and_Isoquinolinediones/28629181</t>
  </si>
  <si>
    <t>https://doi.org/10.1021/acs.joc.5c00149.s002</t>
  </si>
  <si>
    <t>Photoinduced Cascade Synthesis of Oxindoles and Isoquinolinediones</t>
  </si>
  <si>
    <t>https://doi.org/10.1021/acs.joc.5c00149</t>
  </si>
  <si>
    <t>https://acs.figshare.com/articles/dataset/Pyridyl_Pyrimidylsulfones_as_Latent_Pyridyl_Nucleophiles_in_Palladium-Catalyzed_Cross-Coupling_Reactions/28615116</t>
  </si>
  <si>
    <t>https://doi.org/10.1021/acs.orglett.5c00519.s002</t>
  </si>
  <si>
    <t>Pyridyl Pyrimidylsulfones as Latent Pyridyl Nucleophiles in Palladium-Catalyzed Cross-Coupling Reactions</t>
  </si>
  <si>
    <t>https://doi.org/10.1021/acs.orglett.5c00519</t>
  </si>
  <si>
    <t>https://acs.figshare.com/articles/dataset/Electrochemical_Synthesis_of_Lactones_from_the_Intermolecular_Oxidative_Coupling_between_Malonates_and_Styrenes/28605453</t>
  </si>
  <si>
    <t>https://doi.org/10.1021/acs.joc.5c00228.s002</t>
  </si>
  <si>
    <t>https://doi.org/10.1021/acs.joc.5c00228</t>
  </si>
  <si>
    <t>https://acs.figshare.com/articles/dataset/Lewis_Acid-Mediated_Domino_Glycosylation_Cyclization_of_Substituted_Glycals_A_Stereoselective_Route_Toward_the_Synthesis_of_1_2-Annulated_C_Glycosides/28600110</t>
  </si>
  <si>
    <t>https://doi.org/10.1021/acs.orglett.5c00493.s001</t>
  </si>
  <si>
    <t>https://doi.org/10.1021/acs.orglett.5c00493</t>
  </si>
  <si>
    <t>https://acs.figshare.com/articles/dataset/Tandem_Synthesis_of_Polysubstituted_Pyrroles_via_Cu_I_-Catalyzed_Cyclization_of_Ketene_i_N_S_i_-Acetals_with_Ketodinitriles/28575111</t>
  </si>
  <si>
    <t>https://doi.org/10.1021/acs.joc.4c03071.s001</t>
  </si>
  <si>
    <t>https://doi.org/10.1021/acs.joc.4c03071</t>
  </si>
  <si>
    <t>https://acs.figshare.com/articles/dataset/Intramolecular_i_ortho_i_Photocycloaddition_of_4_Substituted_7_4_-Alkenyloxy_-1-indanones_and_Ensuing_Reaction_Cascades/28573998</t>
  </si>
  <si>
    <t>https://doi.org/10.1021/acs.joc.5c00171.s002</t>
  </si>
  <si>
    <t>https://doi.org/10.1021/acs.joc.5c00171</t>
  </si>
  <si>
    <t>https://acs.figshare.com/articles/dataset/Modular_Approach_for_Photoinduced_Cycloaddition_Enabling_the_Synthesis_of_Diverse_Bioactive_Oxazoles/28566322</t>
  </si>
  <si>
    <t>https://doi.org/10.1021/acs.orglett.5c00806.s001</t>
  </si>
  <si>
    <t>Modular Approach for Photoinduced Cycloaddition Enabling the Synthesis of Diverse Bioactive Oxazoles</t>
  </si>
  <si>
    <t>https://doi.org/10.1021/acs.orglett.5c00806</t>
  </si>
  <si>
    <t>https://acs.figshare.com/articles/dataset/A_Twist_on_Controlling_the_Equilibrium_of_Dynamic_Thia-Michael_Reactions/28555606</t>
  </si>
  <si>
    <t>https://doi.org/10.1021/acs.joc.4c03150.s005</t>
  </si>
  <si>
    <t>A Twist on Controlling the Equilibrium of Dynamic Thia-Michael Reactions</t>
  </si>
  <si>
    <t>https://doi.org/10.1021/acs.joc.4c03150</t>
  </si>
  <si>
    <t>https://acs.figshare.com/articles/dataset/A_Twist_on_Controlling_the_Equilibrium_of_Dynamic_Thia-Michael_Reactions/28555603</t>
  </si>
  <si>
    <t>https://doi.org/10.1021/acs.joc.4c03150.s004</t>
  </si>
  <si>
    <t>https://acs.figshare.com/articles/dataset/Visible_Light-Mediated_Selective_Synthesis_of_Amino_Sulfide_Scaffolds_via_Dual_Role_of_i_N_i_Iodosuccinimide/28548408</t>
  </si>
  <si>
    <t>https://doi.org/10.1021/acs.orglett.5c00429.s001</t>
  </si>
  <si>
    <t>https://doi.org/10.1021/acs.orglett.5c00429</t>
  </si>
  <si>
    <t>https://acs.figshare.com/articles/dataset/Vicinal_Thiosulfonylation_of_i_ortho_i_-_Alkynyl_benzyl_Thiosulfonates_Sulfurothioates_for_Direct_Synthesis_of_Sulfonyl-Derived_Isothiochromenes/28543588</t>
  </si>
  <si>
    <t>https://doi.org/10.1021/acs.joc.4c02967.s002</t>
  </si>
  <si>
    <t>Vicinal Thiosulfonylation of ortho-(Alkynyl)benzyl Thiosulfonates/Sulfurothioates for Direct Synthesis of Sulfonyl-Derived Isothiochromenes</t>
  </si>
  <si>
    <t>https://doi.org/10.1021/acs.joc.4c02967</t>
  </si>
  <si>
    <t>https://acs.figshare.com/articles/dataset/Dynamically_Generated_Carbenium_Species_via_Photoisomerization_of_Cyclic_Alkenes_Mild_Friedel_Crafts_Alkylation/28540608</t>
  </si>
  <si>
    <t>https://doi.org/10.1021/acs.joc.5c00061.s002</t>
  </si>
  <si>
    <t>https://doi.org/10.1021/acs.joc.5c00061</t>
  </si>
  <si>
    <t>https://acs.figshare.com/articles/dataset/Enantioselective_Synthesis_of_Spirocyclic_Isoxazolones_Using_a_Conia-Ene_Type_Reaction/28540143</t>
  </si>
  <si>
    <t>https://doi.org/10.1021/acs.joc.4c02921.s002</t>
  </si>
  <si>
    <t>Enantioselective Synthesis of Spirocyclic Isoxazolones Using a Conia-Ene Type Reaction</t>
  </si>
  <si>
    <t>https://doi.org/10.1021/acs.joc.4c02921</t>
  </si>
  <si>
    <t>https://acs.figshare.com/articles/dataset/Visible-Light-Mediated_Three-Component_Alkene_1_2-Alkylpyridylation_Reaction_Using_Alkylboronic_Acids_as_Radical_Precursors_for_the_Synthesis_of_4_Alkylpyridines/28524997</t>
  </si>
  <si>
    <t>https://doi.org/10.1021/acs.joc.4c02600.s002</t>
  </si>
  <si>
    <t>https://doi.org/10.1021/acs.joc.4c02600</t>
  </si>
  <si>
    <t>https://acs.figshare.com/articles/dataset/Visible-Light-Driven_Synergistic_Se_Fe_Catalysis_for_the_Synthesis_of_2_Aminoquinoline_Derivatives/28524943</t>
  </si>
  <si>
    <t>https://doi.org/10.1021/acs.orglett.5c00129.s002</t>
  </si>
  <si>
    <t>https://doi.org/10.1021/acs.orglett.5c00129</t>
  </si>
  <si>
    <t>https://acs.figshare.com/articles/dataset/Atmosphere_Effects_on_Arene_Reduction_with_Lithium_and_Ethylenediamine_in_THF/28524692</t>
  </si>
  <si>
    <t>https://doi.org/10.1021/acs.joc.4c03118.s001</t>
  </si>
  <si>
    <t>Atmosphere Effects on Arene Reduction with Lithium and Ethylenediamine in THF</t>
  </si>
  <si>
    <t>https://doi.org/10.1021/acs.joc.4c03118</t>
  </si>
  <si>
    <t>https://acs.figshare.com/articles/dataset/Asymmetric_Total_Synthesis_of_Gymnothespirolignan_A_via_a_Bioinspired_Double_Cyclization_Approach/28522401</t>
  </si>
  <si>
    <t>https://doi.org/10.1021/acs.joc.4c03140.s002</t>
  </si>
  <si>
    <t>Asymmetric Total Synthesis of Gymnothespirolignan A via a Bioinspired Double Cyclization Approach</t>
  </si>
  <si>
    <t>https://doi.org/10.1021/acs.joc.4c03140</t>
  </si>
  <si>
    <t>https://acs.figshare.com/articles/dataset/Synthesis_of_N_Heterocycle-Ligated_Porphyrins_Using_Iodobenzene_Diacetate_Enabled_Regioselective_Cross-Dehydrogenation_of_Porphyrins_and_NH-Heteroaromatics/28519682</t>
  </si>
  <si>
    <t>https://doi.org/10.1021/acs.joc.4c02634.s002</t>
  </si>
  <si>
    <t>https://doi.org/10.1021/acs.joc.4c02634</t>
  </si>
  <si>
    <t>https://acs.figshare.com/articles/dataset/CO_sub_2_sub_sup_sup_Enabled_Synthesis_of_Phenanthridinones_Oxindoles_Isoindolinones_and_Spirolactams/28516677</t>
  </si>
  <si>
    <t>https://doi.org/10.1021/acs.joc.4c02490.s002</t>
  </si>
  <si>
    <t>https://doi.org/10.1021/acs.joc.4c02490</t>
  </si>
  <si>
    <t>https://acs.figshare.com/articles/dataset/Minisci_C_H_Alkylation_of_Heterocycles_with_Unactivated_Alkyl_Iodides_Enabled_by_Visible_Light_Photocatalysis/28505255</t>
  </si>
  <si>
    <t>https://doi.org/10.1021/acs.joc.4c03151.s002</t>
  </si>
  <si>
    <t>https://doi.org/10.1021/acs.joc.4c03151</t>
  </si>
  <si>
    <t>https://acs.figshare.com/articles/dataset/Controlling_the_Symmetry_of_Perylene_Derivatives_via_Selective_i_ortho_i_-Borylation/28504775</t>
  </si>
  <si>
    <t>https://doi.org/10.1021/acs.joc.4c02669.s001</t>
  </si>
  <si>
    <t>Controlling the Symmetry of Perylene Derivatives via Selective ortho-Borylation</t>
  </si>
  <si>
    <t>https://doi.org/10.1021/acs.joc.4c02669</t>
  </si>
  <si>
    <t>https://acs.figshare.com/articles/dataset/_i_Meta_i_-_Regioselective_Amination_of_Cyclic_Diaryliodoniums_through_C_I_and_C_O_Bond_Cleavages_An_Access_to_Functionalized_Coumarins/28503213</t>
  </si>
  <si>
    <t>https://doi.org/10.1021/acs.joc.4c02094.s004</t>
  </si>
  <si>
    <t>https://doi.org/10.1021/acs.joc.4c02094</t>
  </si>
  <si>
    <t>https://acs.figshare.com/articles/dataset/_i_Meta_i_-_Regioselective_Amination_of_Cyclic_Diaryliodoniums_through_C_I_and_C_O_Bond_Cleavages_An_Access_to_Functionalized_Coumarins/28503210</t>
  </si>
  <si>
    <t>https://doi.org/10.1021/acs.joc.4c02094.s003</t>
  </si>
  <si>
    <t>https://acs.figshare.com/articles/dataset/_i_Meta_i_-_Regioselective_Amination_of_Cyclic_Diaryliodoniums_through_C_I_and_C_O_Bond_Cleavages_An_Access_to_Functionalized_Coumarins/28503207</t>
  </si>
  <si>
    <t>https://doi.org/10.1021/acs.joc.4c02094.s002</t>
  </si>
  <si>
    <t>https://acs.figshare.com/articles/dataset/Trifluoromethylation_on_a_Nucleoside_Sugar_Scaffold_Design_and_Synthesis_of_6_-Trifluoromethylcyclopentenyl-purine_and_-pyrimidine_Nucleosides/28502038</t>
  </si>
  <si>
    <t>https://doi.org/10.1021/acs.orglett.5c00325.s002</t>
  </si>
  <si>
    <t>https://doi.org/10.1021/acs.orglett.5c00325</t>
  </si>
  <si>
    <t>https://acs.figshare.com/articles/dataset/TBHP-Promoted_Trifluoromethyl-difluoromethylthiolation_of_Unactivated_Alkenes_with_CF_sub_3_sub_SO_sub_2_sub_Na_and_PhSO_sub_2_sub_SCF_sub_2_sub_H/28484906</t>
  </si>
  <si>
    <t>https://doi.org/10.1021/acs.orglett.5c00146.s001</t>
  </si>
  <si>
    <t>TBHP-Promoted Trifluoromethyl-difluoromethylthiolation of Unactivated Alkenes with CF3SO2Na and PhSO2SCF2H</t>
  </si>
  <si>
    <t>https://doi.org/10.1021/acs.orglett.5c00146</t>
  </si>
  <si>
    <t>https://acs.figshare.com/articles/dataset/C3-Heteroarylation_of_Indoles_via_Cu_II_-Catalyzed_Aminocupration_and_Subsequent_Nucleophilic_Addition_of_i_o_i_Alkynylanilines/28468142</t>
  </si>
  <si>
    <t>https://doi.org/10.1021/acs.joc.5c00007.s001</t>
  </si>
  <si>
    <t>https://doi.org/10.1021/acs.joc.5c00007</t>
  </si>
  <si>
    <t>https://acs.figshare.com/articles/dataset/One-Pot_Alkynylation_Isomerization_Cascade_of_Formylated_Enoates_to_Functionalized_Ynones/28462438</t>
  </si>
  <si>
    <t>https://doi.org/10.1021/acs.joc.4c02842.s002</t>
  </si>
  <si>
    <t>https://doi.org/10.1021/acs.joc.4c02842</t>
  </si>
  <si>
    <t>https://acs.figshare.com/articles/dataset/Synthesis_of_a_Natural_Product-Based_5_i_H_i_Thiazolo_5_4_5_6_pyrido_2_3_i_b_i_indole_Derivative_via_Solid-Phase_Synthesis/28450076</t>
  </si>
  <si>
    <t>https://doi.org/10.1021/acs.joc.4c03094.s002</t>
  </si>
  <si>
    <t>https://doi.org/10.1021/acs.joc.4c03094</t>
  </si>
  <si>
    <t>https://acs.figshare.com/articles/dataset/NHC-BH_sub_3_sub_Mediated_Reduction_of_Sulfonyl_Hydrazides_into_Disulfides_and_Further_Cross-Coupling_with_Chlorostibine_and_Bioactivities/28432991</t>
  </si>
  <si>
    <t>https://doi.org/10.1021/acs.joc.4c02638.s002</t>
  </si>
  <si>
    <t>https://doi.org/10.1021/acs.joc.4c02638</t>
  </si>
  <si>
    <t>https://acs.figshare.com/articles/dataset/B_N_Lewis_Pair-Functionalized_Perylenes_Tuning_Optoelectronic_Properties_via_Regioisomerization/28418143</t>
  </si>
  <si>
    <t>https://doi.org/10.1021/acs.joc.4c03015.s002</t>
  </si>
  <si>
    <t>https://doi.org/10.1021/acs.joc.4c03015</t>
  </si>
  <si>
    <t>https://acs.figshare.com/articles/dataset/Multicomponent_Tf_sub_2_sub_O_Triggered_Dearomative_Triazinylmethylation_of_Isoquinolines_Using_Acetonitrile/28409303</t>
  </si>
  <si>
    <t>https://doi.org/10.1021/acs.joc.4c02834.s001</t>
  </si>
  <si>
    <t>https://doi.org/10.1021/acs.joc.4c02834</t>
  </si>
  <si>
    <t>https://acs.figshare.com/articles/dataset/Catalytic_Enantioselective_4_1_-Annulation_of_Carboxylic_Acids_with_Cyclopropenes/28405761</t>
  </si>
  <si>
    <t>https://doi.org/10.1021/acs.orglett.4c04827.s001</t>
  </si>
  <si>
    <t>Catalytic Enantioselective [4+1]-Annulation of Carboxylic Acids with Cyclopropenes</t>
  </si>
  <si>
    <t>https://doi.org/10.1021/acs.orglett.4c04827</t>
  </si>
  <si>
    <t>https://acs.figshare.com/articles/dataset/Dehydrogenation_of_Aromatic_Alcohols_Aldehydes_and_Ketones_Catalyzed_by_Cu_I_Complexes/28395249</t>
  </si>
  <si>
    <t>https://doi.org/10.1021/acs.joc.4c02676.s001</t>
  </si>
  <si>
    <t>Dehydrogenation of Aromatic Alcohols, Aldehydes, and Ketones Catalyzed by Cu(I) Complexes</t>
  </si>
  <si>
    <t>https://doi.org/10.1021/acs.joc.4c02676</t>
  </si>
  <si>
    <t>https://acs.figshare.com/articles/dataset/C_H_Aminoalkylation_of_5_Membered_Heterocycles_Influence_of_Descriptors_Data_Set_Size_and_Data_Quality_on_the_Predictiveness_of_Machine_Learning_Models_and_Expansion_of_the_Substrate_Space_Beyond_1_3-Azoles/28395051</t>
  </si>
  <si>
    <t>https://doi.org/10.1021/acs.joc.4c02574.s002</t>
  </si>
  <si>
    <t>https://doi.org/10.1021/acs.joc.4c02574</t>
  </si>
  <si>
    <t>https://acs.figshare.com/articles/dataset/Synergy-Promoted_Specific_Alkyltriphenylphosphonium_Binding_to_CB_8_/28379677</t>
  </si>
  <si>
    <t>https://doi.org/10.1021/acs.joc.4c02546.s002</t>
  </si>
  <si>
    <t>Synergy-Promoted Specific Alkyltriphenylphosphonium Binding to CB[8]</t>
  </si>
  <si>
    <t>https://doi.org/10.1021/acs.joc.4c02546</t>
  </si>
  <si>
    <t>https://acs.figshare.com/articles/dataset/Unified_Hydrogen_Atom_Transfer_Approach_To_Construct_Vicinal_Functionality/28360913</t>
  </si>
  <si>
    <t>https://doi.org/10.1021/acs.orglett.4c04767.s002</t>
  </si>
  <si>
    <t>Unified Hydrogen Atom Transfer Approach To Construct Vicinal Functionality</t>
  </si>
  <si>
    <t>https://doi.org/10.1021/acs.orglett.4c04767</t>
  </si>
  <si>
    <t>https://acs.figshare.com/articles/dataset/A_Photo-Smiles_Rearrangement_Mechanistic_Investigation_of_the_Formation_of_Blatter_Radical_Helicenes/28356374</t>
  </si>
  <si>
    <t>https://doi.org/10.1021/acs.joc.4c02893.s002</t>
  </si>
  <si>
    <t>A Photo-Smiles Rearrangement: Mechanistic Investigation of the Formation of Blatter Radical Helicenes</t>
  </si>
  <si>
    <t>https://doi.org/10.1021/acs.joc.4c02893</t>
  </si>
  <si>
    <t>https://acs.figshare.com/articles/dataset/Pd-Catalyzed_Ligand-Controlled_Regioselective_Asymmetric_Hydrosulfonylation_of_Alkylallenes_or_Arylallenes/28335054</t>
  </si>
  <si>
    <t>https://doi.org/10.1021/acs.orglett.4c04259.s002</t>
  </si>
  <si>
    <t>Pd-Catalyzed/Ligand-Controlled Regioselective Asymmetric Hydrosulfonylation of Alkylallenes or Arylallenes</t>
  </si>
  <si>
    <t>https://doi.org/10.1021/acs.orglett.4c04259</t>
  </si>
  <si>
    <t>https://acs.figshare.com/articles/dataset/Visible_Light-Induced_Sequential_Nitrogen_Insertion_and_Benzotriazolation_of_Quinoxaline-2_1_i_H_i_ones/28334814</t>
  </si>
  <si>
    <t>https://doi.org/10.1021/acs.orglett.4c04834.s002</t>
  </si>
  <si>
    <t>https://doi.org/10.1021/acs.orglett.4c04834</t>
  </si>
  <si>
    <t>https://acs.figshare.com/articles/dataset/Enantio-_and_Regioselective_Propargylation_and_Allenylation_of_-Unsaturated_Ketoesters_with_Allenyl_Boronate_Regulated_by_Chiral_Copper_Zinc/28324113</t>
  </si>
  <si>
    <t>https://doi.org/10.1021/acs.orglett.4c03845.s008</t>
  </si>
  <si>
    <t>https://doi.org/10.1021/acs.orglett.4c03845</t>
  </si>
  <si>
    <t>https://acs.figshare.com/articles/dataset/Enantio-_and_Regioselective_Propargylation_and_Allenylation_of_-Unsaturated_Ketoesters_with_Allenyl_Boronate_Regulated_by_Chiral_Copper_Zinc/28324110</t>
  </si>
  <si>
    <t>https://doi.org/10.1021/acs.orglett.4c03845.s007</t>
  </si>
  <si>
    <t>https://acs.figshare.com/articles/dataset/Enantio-_and_Regioselective_Propargylation_and_Allenylation_of_-Unsaturated_Ketoesters_with_Allenyl_Boronate_Regulated_by_Chiral_Copper_Zinc/28324107</t>
  </si>
  <si>
    <t>https://doi.org/10.1021/acs.orglett.4c03845.s006</t>
  </si>
  <si>
    <t>https://acs.figshare.com/articles/dataset/Enantio-_and_Regioselective_Propargylation_and_Allenylation_of_-Unsaturated_Ketoesters_with_Allenyl_Boronate_Regulated_by_Chiral_Copper_Zinc/28324104</t>
  </si>
  <si>
    <t>https://doi.org/10.1021/acs.orglett.4c03845.s005</t>
  </si>
  <si>
    <t>https://acs.figshare.com/articles/dataset/Enantio-_and_Regioselective_Propargylation_and_Allenylation_of_-Unsaturated_Ketoesters_with_Allenyl_Boronate_Regulated_by_Chiral_Copper_Zinc/28324101</t>
  </si>
  <si>
    <t>https://doi.org/10.1021/acs.orglett.4c03845.s004</t>
  </si>
  <si>
    <t>https://acs.figshare.com/articles/dataset/Enantio-_and_Regioselective_Propargylation_and_Allenylation_of_-Unsaturated_Ketoesters_with_Allenyl_Boronate_Regulated_by_Chiral_Copper_Zinc/28324098</t>
  </si>
  <si>
    <t>https://doi.org/10.1021/acs.orglett.4c03845.s003</t>
  </si>
  <si>
    <t>https://acs.figshare.com/articles/dataset/Enantio-_and_Regioselective_Propargylation_and_Allenylation_of_-Unsaturated_Ketoesters_with_Allenyl_Boronate_Regulated_by_Chiral_Copper_Zinc/28324095</t>
  </si>
  <si>
    <t>https://doi.org/10.1021/acs.orglett.4c03845.s002</t>
  </si>
  <si>
    <t>https://acs.figshare.com/articles/dataset/Enantio-_and_Regioselective_Propargylation_and_Allenylation_of_-Unsaturated_Ketoesters_with_Allenyl_Boronate_Regulated_by_Chiral_Copper_Zinc/28324092</t>
  </si>
  <si>
    <t>https://doi.org/10.1021/acs.orglett.4c03845.s001</t>
  </si>
  <si>
    <t>https://acs.figshare.com/articles/dataset/Diverse_Annulations_of_Alkyl_phenyl_phosphinic_Chlorides_and_Imines/28320127</t>
  </si>
  <si>
    <t>https://doi.org/10.1021/acs.orglett.4c04737.s003</t>
  </si>
  <si>
    <t>Diverse Annulations of Alkyl(phenyl)phosphinic Chlorides and Imines</t>
  </si>
  <si>
    <t>https://doi.org/10.1021/acs.orglett.4c04737</t>
  </si>
  <si>
    <t>https://acs.figshare.com/articles/dataset/Diverse_Annulations_of_Alkyl_phenyl_phosphinic_Chlorides_and_Imines/28320124</t>
  </si>
  <si>
    <t>https://doi.org/10.1021/acs.orglett.4c04737.s002</t>
  </si>
  <si>
    <t>https://acs.figshare.com/articles/dataset/Aryl_Borane_as_a_Catalyst_for_Dehydrative_Amide_Synthesis/28313122</t>
  </si>
  <si>
    <t>https://doi.org/10.1021/acs.joc.4c02652.s002</t>
  </si>
  <si>
    <t>Aryl Borane as a Catalyst for Dehydrative Amide Synthesis</t>
  </si>
  <si>
    <t>https://doi.org/10.1021/acs.joc.4c02652</t>
  </si>
  <si>
    <t>https://acs.figshare.com/articles/dataset/Electrochemical_Cyclization_Desulfurization_Approach_for_the_Synthesis_of_1_3-Benzoxazines_Using_Cascade_C_O_and_C_N_Bond_Formation/28308688</t>
  </si>
  <si>
    <t>https://doi.org/10.1021/acs.joc.4c02429.s002</t>
  </si>
  <si>
    <t>https://doi.org/10.1021/acs.joc.4c02429</t>
  </si>
  <si>
    <t>https://acs.figshare.com/articles/dataset/Photooxidation_and_Cleavage_of_Ethynylated_9_10-Dimethoxyanthracenes_with_Acid-Labile_Ether_Bonds/28297095</t>
  </si>
  <si>
    <t>https://doi.org/10.1021/acs.joc.4c02737.s002</t>
  </si>
  <si>
    <t>Photooxidation and Cleavage of Ethynylated 9,10-Dimethoxyanthracenes with Acid-Labile Ether Bonds</t>
  </si>
  <si>
    <t>https://doi.org/10.1021/acs.joc.4c02737</t>
  </si>
  <si>
    <t>https://acs.figshare.com/articles/dataset/Uncommon_Diterpenoids_with_Diverse_Frameworks_from_the_South_China_Sea_Sponge_i_Spongia_officinalis_i_and_Their_Anti-inflammatory_Activities/28270632</t>
  </si>
  <si>
    <t>https://doi.org/10.1021/acs.joc.4c02689.s004</t>
  </si>
  <si>
    <t>Uncommon Diterpenoids with Diverse Frameworks from the South China Sea Sponge Spongia officinalis and Their Anti-inflammatory Activities</t>
  </si>
  <si>
    <t>https://doi.org/10.1021/acs.joc.4c02689</t>
  </si>
  <si>
    <t>https://acs.figshare.com/articles/dataset/Uncommon_Diterpenoids_with_Diverse_Frameworks_from_the_South_China_Sea_Sponge_i_Spongia_officinalis_i_and_Their_Anti-inflammatory_Activities/28270629</t>
  </si>
  <si>
    <t>https://doi.org/10.1021/acs.joc.4c02689.s003</t>
  </si>
  <si>
    <t>https://acs.figshare.com/articles/dataset/Uncommon_Diterpenoids_with_Diverse_Frameworks_from_the_South_China_Sea_Sponge_i_Spongia_officinalis_i_and_Their_Anti-inflammatory_Activities/28270626</t>
  </si>
  <si>
    <t>https://doi.org/10.1021/acs.joc.4c02689.s002</t>
  </si>
  <si>
    <t>Uncommon Diterpenoids with Diverse Frameworks from the South China Sea Sponge &lt;i&gt;Spongia officinalis&lt;/i&gt; and Their Anti-inflammatory Activities</t>
  </si>
  <si>
    <t>https://acs.figshare.com/articles/dataset/Uncommon_Diterpenoids_with_Diverse_Frameworks_from_the_South_China_Sea_Sponge_i_Spongia_officinalis_i_and_Their_Anti-inflammatory_Activities/28270623</t>
  </si>
  <si>
    <t>https://doi.org/10.1021/acs.joc.4c02689.s001</t>
  </si>
  <si>
    <t>https://acs.figshare.com/articles/dataset/Diastereoselective_Synthesis_of_Cyclobutanes_via_Rh-Catalyzed_Unprecedented_C_C_Bond_Cleavage_of_Alkylidenecyclopropanes/28264345</t>
  </si>
  <si>
    <t>https://doi.org/10.1021/acs.orglett.4c04779.s002</t>
  </si>
  <si>
    <t>https://doi.org/10.1021/acs.orglett.4c04779</t>
  </si>
  <si>
    <t>https://acs.figshare.com/articles/dataset/Annulative_Coupling_of_Sulfoxonium_Ylides_with_Aldehydes_and_Naphthols_or_Coumarins_Easy_Access_to_Fused_Dihydrofurans/28228988</t>
  </si>
  <si>
    <t>https://doi.org/10.1021/acs.joc.4c02787.s002</t>
  </si>
  <si>
    <t>Annulative Coupling of Sulfoxonium Ylides with Aldehydes and Naphthols or Coumarins: Easy Access to Fused Dihydrofurans</t>
  </si>
  <si>
    <t>https://doi.org/10.1021/acs.joc.4c02787</t>
  </si>
  <si>
    <t>https://acs.figshare.com/articles/dataset/Sc-Catalyzed_Asymmetric_2_2_Annulation_of_2_Alkynylnaphthols_with_Dienes_to_Access_Cyclobutene_Frameworks/28218373</t>
  </si>
  <si>
    <t>https://doi.org/10.1021/acs.orglett.4c04625.s002</t>
  </si>
  <si>
    <t>https://doi.org/10.1021/acs.orglett.4c04625</t>
  </si>
  <si>
    <t>https://acs.figshare.com/articles/dataset/From_Pseudocyclic_to_Macrocyclic_Ionophores_Strategies_toward_the_Synthesis_of_Cyclic_Monensin_Derivatives/28182897</t>
  </si>
  <si>
    <t>https://doi.org/10.1021/acs.joc.4c02715.s002</t>
  </si>
  <si>
    <t>From Pseudocyclic to Macrocyclic Ionophores: Strategies toward the Synthesis of Cyclic Monensin Derivatives</t>
  </si>
  <si>
    <t>https://doi.org/10.1021/acs.joc.4c02715</t>
  </si>
  <si>
    <t>https://acs.figshare.com/articles/dataset/Four_Alkaloids_from_i_Alstonia_scholaris_i_with_Antitumor_Activity_via_Disturbing_Glutathione_Homeostasis/28181999</t>
  </si>
  <si>
    <t>https://doi.org/10.1021/acs.joc.4c02450.s009</t>
  </si>
  <si>
    <t>Four Alkaloids from Alstonia scholaris with Antitumor Activity via Disturbing Glutathione Homeostasis</t>
  </si>
  <si>
    <t>https://doi.org/10.1021/acs.joc.4c02450</t>
  </si>
  <si>
    <t>https://acs.figshare.com/articles/dataset/Four_Alkaloids_from_i_Alstonia_scholaris_i_with_Antitumor_Activity_via_Disturbing_Glutathione_Homeostasis/28181996</t>
  </si>
  <si>
    <t>https://doi.org/10.1021/acs.joc.4c02450.s008</t>
  </si>
  <si>
    <t>https://acs.figshare.com/articles/dataset/Four_Alkaloids_from_i_Alstonia_scholaris_i_with_Antitumor_Activity_via_Disturbing_Glutathione_Homeostasis/28181993</t>
  </si>
  <si>
    <t>https://doi.org/10.1021/acs.joc.4c02450.s007</t>
  </si>
  <si>
    <t>https://acs.figshare.com/articles/dataset/Four_Alkaloids_from_i_Alstonia_scholaris_i_with_Antitumor_Activity_via_Disturbing_Glutathione_Homeostasis/28181990</t>
  </si>
  <si>
    <t>https://doi.org/10.1021/acs.joc.4c02450.s006</t>
  </si>
  <si>
    <t>https://acs.figshare.com/articles/dataset/Four_Alkaloids_from_i_Alstonia_scholaris_i_with_Antitumor_Activity_via_Disturbing_Glutathione_Homeostasis/28181978</t>
  </si>
  <si>
    <t>https://doi.org/10.1021/acs.joc.4c02450.s005</t>
  </si>
  <si>
    <t>https://acs.figshare.com/articles/dataset/Four_Alkaloids_from_i_Alstonia_scholaris_i_with_Antitumor_Activity_via_Disturbing_Glutathione_Homeostasis/28181969</t>
  </si>
  <si>
    <t>https://doi.org/10.1021/acs.joc.4c02450.s004</t>
  </si>
  <si>
    <t>https://acs.figshare.com/articles/dataset/Four_Alkaloids_from_i_Alstonia_scholaris_i_with_Antitumor_Activity_via_Disturbing_Glutathione_Homeostasis/28181966</t>
  </si>
  <si>
    <t>https://doi.org/10.1021/acs.joc.4c02450.s003</t>
  </si>
  <si>
    <t>https://acs.figshare.com/articles/dataset/Four_Alkaloids_from_i_Alstonia_scholaris_i_with_Antitumor_Activity_via_Disturbing_Glutathione_Homeostasis/28181963</t>
  </si>
  <si>
    <t>https://doi.org/10.1021/acs.joc.4c02450.s002</t>
  </si>
  <si>
    <t>https://acs.figshare.com/articles/dataset/Thermocontrolled_Radical_Nucleophilicity_vs_Radicophilicity_in_Regiodivergent_C_H_Functionalization/28169240</t>
  </si>
  <si>
    <t>https://doi.org/10.1021/acs.orglett.4c04509.s002</t>
  </si>
  <si>
    <t>https://doi.org/10.1021/acs.orglett.4c04509</t>
  </si>
  <si>
    <t>https://acs.figshare.com/articles/dataset/Construction_of_3_6-Difluoropyridones_via_a_Double_Defluorinative_3_3_Annulation_of_Fluoro-_-sulfonylacetamides_with_2_CF_sub_3_sub_Alkenes/28163608</t>
  </si>
  <si>
    <t>https://doi.org/10.1021/acs.orglett.4c04348.s002</t>
  </si>
  <si>
    <t>https://doi.org/10.1021/acs.orglett.4c04348</t>
  </si>
  <si>
    <t>https://acs.figshare.com/articles/dataset/Direct_Synthesis_of_2_Functionalized_3_Nitroindoles_from_Diazo_nitro_acetanilides/28156329</t>
  </si>
  <si>
    <t>https://doi.org/10.1021/acs.joc.4c02622.s004</t>
  </si>
  <si>
    <t>https://doi.org/10.1021/acs.joc.4c02622</t>
  </si>
  <si>
    <t>https://acs.figshare.com/articles/dataset/Direct_Synthesis_of_2_Functionalized_3_Nitroindoles_from_Diazo_nitro_acetanilides/28156323</t>
  </si>
  <si>
    <t>https://doi.org/10.1021/acs.joc.4c02622.s002</t>
  </si>
  <si>
    <t>https://acs.figshare.com/articles/dataset/Direct_Synthesis_of_2_Functionalized_3_Nitroindoles_from_Diazo_nitro_acetanilides/28156320</t>
  </si>
  <si>
    <t>https://doi.org/10.1021/acs.joc.4c02622.s001</t>
  </si>
  <si>
    <t>https://acs.figshare.com/articles/dataset/Pd_OAc_sub_2_sub_Catalyzed_Approach_to_Phenanthridin-6_5_i_H_i_one_Skeletons/28143679</t>
  </si>
  <si>
    <t>https://doi.org/10.1021/acs.orglett.4c04173.s002</t>
  </si>
  <si>
    <t>https://doi.org/10.1021/acs.orglett.4c04173</t>
  </si>
  <si>
    <t>https://acs.figshare.com/articles/dataset/TEMPO-Mediated_Direct_C_sp_sup_2_sup_H_Alkoxylation_Aryloxylation_of_1_4-Quinones/28137633</t>
  </si>
  <si>
    <t>https://doi.org/10.1021/acs.joc.4c02335.s002</t>
  </si>
  <si>
    <t>https://doi.org/10.1021/acs.joc.4c02335</t>
  </si>
  <si>
    <t>dataURL</t>
  </si>
  <si>
    <t>pubDOI</t>
  </si>
  <si>
    <t>Index</t>
  </si>
  <si>
    <t>Article</t>
  </si>
  <si>
    <t>dataURL list</t>
  </si>
  <si>
    <t>status</t>
  </si>
  <si>
    <t>fails [F-NMR, 3w, 10, pdata] F-NMR</t>
  </si>
  <si>
    <t>JavaIndex</t>
  </si>
  <si>
    <t>SKIP</t>
  </si>
  <si>
    <t>CALCULATION ONLY XYZ</t>
  </si>
  <si>
    <t>DOC FILES ONLY</t>
  </si>
  <si>
    <t>acs2.html</t>
  </si>
  <si>
    <t>t</t>
  </si>
  <si>
    <t>SI ext</t>
  </si>
  <si>
    <t>acscode</t>
  </si>
  <si>
    <t>zip file name</t>
  </si>
  <si>
    <t>XLS</t>
  </si>
  <si>
    <t>jo4c02676_si_001.xls</t>
  </si>
  <si>
    <t>jo5c00172_si_002.xyz</t>
  </si>
  <si>
    <t>jo5c00225_si_002.xyz</t>
  </si>
  <si>
    <t>jo5c00410_si_002.xyz</t>
  </si>
  <si>
    <t>jo5c00670_si_001.xyz</t>
  </si>
  <si>
    <t>jo5c00726_si_001.xyz</t>
  </si>
  <si>
    <t>jo5c00744_si_002.xyz</t>
  </si>
  <si>
    <t>jo5c00787_si_001.xyz</t>
  </si>
  <si>
    <t>jo5c00805_si_002.xyz</t>
  </si>
  <si>
    <t>jo5c00955_si_002.xyz</t>
  </si>
  <si>
    <t>jo5c01112_si_002.xyz</t>
  </si>
  <si>
    <t>jo5c01225_si_001.xyz</t>
  </si>
  <si>
    <t>jo5c01560_si_002.xyz</t>
  </si>
  <si>
    <t>jo5c01560_si_003.xyz</t>
  </si>
  <si>
    <t>jo5c01560_si_004.xyz</t>
  </si>
  <si>
    <t>jo5c01560_si_005.xyz</t>
  </si>
  <si>
    <t>jo5c01560_si_006.xyz</t>
  </si>
  <si>
    <t>jo5c01560_si_007.xyz</t>
  </si>
  <si>
    <t>jo5c01560_si_008.xyz</t>
  </si>
  <si>
    <t>jo5c01560_si_009.xyz</t>
  </si>
  <si>
    <t>jo5c01560_si_010.xyz</t>
  </si>
  <si>
    <t>jo5c01560_si_011.xyz</t>
  </si>
  <si>
    <t>jo5c01560_si_012.xyz</t>
  </si>
  <si>
    <t>jo5c01560_si_013.xyz</t>
  </si>
  <si>
    <t>jo5c01606_si_002.xyz</t>
  </si>
  <si>
    <t>jo5c01774_si_002.xyz</t>
  </si>
  <si>
    <t>jo5c02123_si_002.xyz</t>
  </si>
  <si>
    <t>jo5c02404_si_002.xyz</t>
  </si>
  <si>
    <t>jo5c02410_si_002.xyz</t>
  </si>
  <si>
    <t>jo5c02438_si_002.xlsx</t>
  </si>
  <si>
    <t>jo5c02577_si_001.pdb</t>
  </si>
  <si>
    <t>jo5c02577_si_002.pdb</t>
  </si>
  <si>
    <t>jo5c02577_si_003.pdb</t>
  </si>
  <si>
    <t>jo5c02700_si_002.xyz</t>
  </si>
  <si>
    <t>rejected</t>
  </si>
  <si>
    <t>xls</t>
  </si>
  <si>
    <t>xyz</t>
  </si>
  <si>
    <t>jo4c02574_si_002.xls</t>
  </si>
  <si>
    <t>text</t>
  </si>
  <si>
    <t>sequence</t>
  </si>
  <si>
    <t>csv</t>
  </si>
  <si>
    <t>jo5c02438_si_002.xls</t>
  </si>
  <si>
    <t>ol4c04767_si_002.xls</t>
  </si>
  <si>
    <t>ol5c01902_si_002.xyz</t>
  </si>
  <si>
    <t>ol5c01955_si_002.xls</t>
  </si>
  <si>
    <t>ol5c02414_si_002.xyz</t>
  </si>
  <si>
    <t>ol5c02624_si_001.xyz</t>
  </si>
  <si>
    <t>ol5c02659_si_001.xyz</t>
  </si>
  <si>
    <t>ol5c02706_si_001.xyz</t>
  </si>
  <si>
    <t>ol5c03358_si_002.xyz</t>
  </si>
  <si>
    <t>ol5c03358_si_003.xyz</t>
  </si>
  <si>
    <t>ol5c03410_si_002.xyz</t>
  </si>
  <si>
    <t>ol5c03764_si_002.xls</t>
  </si>
  <si>
    <t>ol5c04043_si_002.xls</t>
  </si>
  <si>
    <t>ol5c04126_si_002.csv</t>
  </si>
  <si>
    <t>ol5c04292_si_002.xyz</t>
  </si>
  <si>
    <t>ol5c04570_si_002.xls</t>
  </si>
  <si>
    <t>ol5c04669_si_002.xls</t>
  </si>
  <si>
    <t>ol5c01514_si_002.xls</t>
  </si>
  <si>
    <t>ol5c04431_si_002.xyz</t>
  </si>
  <si>
    <t>multiple</t>
  </si>
  <si>
    <t>BH 2026.04.07</t>
  </si>
  <si>
    <t>227 articles checked for zip files</t>
  </si>
  <si>
    <t>pulse sequences only</t>
  </si>
  <si>
    <t>pdb</t>
  </si>
  <si>
    <t>jo4c02893</t>
  </si>
  <si>
    <t xml:space="preserve">fixed problems with 1[H].zip </t>
  </si>
  <si>
    <t>RAR</t>
  </si>
  <si>
    <t>mp4 only</t>
  </si>
  <si>
    <t>// javaLine</t>
  </si>
  <si>
    <t>330/Apr23-2025FN330.zip__/pdata and 1H/330/pdata</t>
  </si>
  <si>
    <t>URL</t>
  </si>
  <si>
    <t>Article DOI</t>
  </si>
  <si>
    <t>Fe-BPsalan Complex-Catalyzed Asymmetric 1,3-Dipolar [3 + 2] Cycloaddition of Nitrones with α,β-Unsaturated Acyl Imidazoles</t>
  </si>
  <si>
    <t>Palladium-Catalyzed [3 + 2] Annulation of o‑Bromobenzyl Cyanide with Norbornene Derivatives via C(sp3)–H Bond Activation to Yield 1‑Cyanoindane</t>
  </si>
  <si>
    <t>Visible-Light-Induced Amination of Pyridylphosphonium Salts: Synthesis of Heteroarylamines via Radical–Radical Coupling</t>
  </si>
  <si>
    <t>Synthesis of Carborane-Fused Lactones via Electrochemical C(sp3)–H Lactonization: Access to Benzofused Lactone Bioisosteres</t>
  </si>
  <si>
    <t>Chemoselective Synthesis of Fluorinated 1,3-Thiazines via Sonication-Assisted [3 + 3] Annulation of Thioamides and α‑CF3 Styrene</t>
  </si>
  <si>
    <t>Synthesis of (2S,4S)‑5,5,5,5′,5′-Pentafluoroleucine and (2S,4R)‑5,5,5-Trifluoroleucine via Stereoselective Hydrogenation and Hydrodefluorination</t>
  </si>
  <si>
    <t>Total Synthesis and Biological Evaluation of Asterriquinol D Dimethyl Ether, Candidusin D, Kumbicins A–B, and Petromurins C–D as α‑Glucosidase Inhibitors</t>
  </si>
  <si>
    <t>Catalyst-Free C–N Coupling under Ambient Conditions via High-Throughput Microdroplet Reactions</t>
  </si>
  <si>
    <t>Photoredox/Nickel Dual-Catalyzed Asymmetric C‑Alkylation of Nitroalkanes with α‑Bromoketones</t>
  </si>
  <si>
    <t>C–H/N–H Annulation of N‑Aryl Triazolinediones with Diazo Compounds: A Route to Cinnoline Analogues</t>
  </si>
  <si>
    <t>Furan Oxidation-Cyclization to Oxazepines: Favoring 7‑exo-trig over 6‑endo-trig and 5‑exo-trig Trajectories</t>
  </si>
  <si>
    <t>Regioselective C‑Arylation of Functionalized Nitroalkanes with Furan, Thiophene, and Substituted Thiophenes</t>
  </si>
  <si>
    <t>Copper-Catalyzed Divergent C–S Bond Cleavage of Vinylsulfonium Salts: Controllable Phosphoryloxylation and Phosphinoylation</t>
  </si>
  <si>
    <t>Organophotoredox-Catalyzed Umpolung Strategy to β‑Fluoroamides via Carbamoylative Fluorination of Alkene in Aqueous Medium</t>
  </si>
  <si>
    <t>Bulky yet Flexible Alkyl Substituents at Remote Positions in Tertiary Phosphines: Synthesis and Catalytic Performance of the Phosphine Ligands in the Nickel-Catalyzed Suzuki–Miyaura Reaction</t>
  </si>
  <si>
    <t>Substrate-Directed Annulative-Sulfonylation/Desulfonylation Cascade Using (E)‑β-Iodovinyl Sulfones: A Diverse Approach for the Synthesis of Imidazo[1,2‑a]pyridines with Sulfone Motifs</t>
  </si>
  <si>
    <t>Metal-Free, Photoinduced On-DNA Synthesis of β‑Hydroxy Sulfides</t>
  </si>
  <si>
    <t>In-Catalyzed Regioselective [3+2] Cycloaddition of Alkenes with α,β-Unsaturated Keto-Carboxylic Acid Derivatives for the Synthesis of γ‑Butyrolactones</t>
  </si>
  <si>
    <t>Steric Hindrance-Driven Access to 3,4,7-Trihydro-1,2-oxaphosphepine 2‑Oxides from Vinyloxiranes and Phosphoryl Diazomethanes</t>
  </si>
  <si>
    <t>Copper-Catalyzed Regioselective Hydroamination and Dual Annulation of 2‑Alkynyl Indole-3-carbonitriles: An Assembly of Functionalized Amino-Benzo[h]indolo[3,2‑c][1,6]naphthyridines</t>
  </si>
  <si>
    <t>Pd-Catalyzed Enantioselective Double C–H Activation and Transmetalation: Synthesis of 2‑Heteroaryl/aryl-Ferrocenealdehydes</t>
  </si>
  <si>
    <t>C‑4 Functional Group-Driven Stereodivergent Synthesis and Late-Stage Diversification of 6‑Deoxy l‑talo/gulo Rare Sugars</t>
  </si>
  <si>
    <t>Regiodivergent Addition of Allylic Acetals in Ruthenium-Catalyzed C–H/N–H Annulation Reaction</t>
  </si>
  <si>
    <t>1,3-Dipolar Cycloaddition of Nitrile Imines to 2‑Imino-thiazolo[3,2‑a]pyrimidin-3-ones: Dipole-Initiated Thiazolone-Imidazolone Rearrangement</t>
  </si>
  <si>
    <t>Visible-Light-Induced CdSeS/CdZnSe/ZnSe/ZnS Quantum-Dot-Catalyzed Three-Component Reaction for the Synthesis of α‑(4-Pyridyl)benzylaniline Derivatives</t>
  </si>
  <si>
    <t>Synthesis and Photophysical Properties of Cyclic Homodimer of U‑Shaped Dibenzophenazinylene</t>
  </si>
  <si>
    <t>Origin of Substituent-Modulated Regioselectivity in Phosphine-Catalyzed [3 + 2] Cyclization of Allenoates and Enones: A Kinetic Shift toward Curtin–Hammett Control</t>
  </si>
  <si>
    <t>https://acs.figshare.com/articles/dataset/Generation_via_Tetradehydro-Diels_Alder_Reactions_and_Reactivity_of_6_Fluorocyclohexa-1_2_4-triene_Intermediates/30258737</t>
  </si>
  <si>
    <t>Generation [via Tetradehydro-Diels–Alder Reactions] and Reactivity of 6‑Fluorocyclohexa-1,2,4-triene Intermediates</t>
  </si>
  <si>
    <t>Visible-Light-Induced Difunctionalization of Styrenes with Aryl Hydrazines and tert-Butyl Nitrite: One-Pot Access to α‑Arylethanone Oximes</t>
  </si>
  <si>
    <t>Photoredox-Catalyzed Deoxygenative C–H Alkylation of Azauracils via Xanthate-Activated Alcohols</t>
  </si>
  <si>
    <t>Regio- and Chemoselective Synthesis of Spiro Cyclobutane-Isobenzofuranimines via Cascade Oxycyclization and [2 + 2] Cycloaddition of o‑Alkynolbenzamides</t>
  </si>
  <si>
    <t>Copper-Catalyzed Vinylsulfonium Salt Diversification with P(O)–OH Bonds: Phosphoryloxylation via an Ionic Ring-Opening Process</t>
  </si>
  <si>
    <t>Solvent Effects on C–H Abstraction by Hydroperoxyl Radicals: Implication for Antioxidant Strategies</t>
  </si>
  <si>
    <t>Photoredox Catalyzed Cyclization of Enaminones/Ketene N,S‑Acetals with β‑Ketodinitriles to Access Polysubstituted Pyrroles</t>
  </si>
  <si>
    <t>Easy Access to Vinylene-Linked Conjugated Homopolymers from Phosphonates via an O2‑Mediated Aldehyde-Free Strategy</t>
  </si>
  <si>
    <t>Photoredox Catalytic Synthesis of Indoles via Direct N–H Activation to Generate Putative Aminyl Radicals</t>
  </si>
  <si>
    <t>Electrochemical Oxidative Ring Opening of 1‑Acetylindoline-3-one to Access α‑Ketoamides</t>
  </si>
  <si>
    <t>Photochemical Flow Synthesis of Trisubstituted Oxazoles Enabled by High-Power UV–B LED Modules</t>
  </si>
  <si>
    <t>A Noncarbenoid Approach to Imidazolidines via ZnCl2‑Catalyzed Annulation of 4‑Alkoxycarbonyl-1,2-diaza-1,3-dienes with 1,3,5-Triazinanes</t>
  </si>
  <si>
    <t>3‑Hydroxyisoindolinones from Keto Acids and Amines: A Mild One-Pot Synthesis with Amidinium and Phosphonium Salts</t>
  </si>
  <si>
    <t>Pd-Catalyzed One-Pot Synthesis of Indole-3-carboxylic Acids via a Sequential Water-Mediated Nucleophilic Addition to Amides/Esters and Carbon–Heteroatom Cross-Coupling Reaction Strategy</t>
  </si>
  <si>
    <t>Gold-Catalyzed Single O‑Transfer to Internal CF3‑Alkynes. Regioselective Synthesis of 4‑Trifluoromethylated Oxazoles</t>
  </si>
  <si>
    <t>Irradiation of Bifunctional Masked Ketone Pro-Aromatics Unveils Autoinductive Autocatalysis via Electron Donor–Acceptor (EDA) Complexes</t>
  </si>
  <si>
    <t>Synthesis of 2‑Trifluoromethylindolines via Rh(III)-Catalyzed Chelation-Assisted C–H Bond Activation and Annulation of Anilines with CF3‑Imidoyl Sulfoxonium Ylides</t>
  </si>
  <si>
    <t>Alectinib Synthesis through Formal α‑Arylation of Enone</t>
  </si>
  <si>
    <t>From Delocalization to Disruption: The Role of Aromaticity in N‑Heterocyclic Carbenes’ Reactions with Diazoalkane and Diazoester</t>
  </si>
  <si>
    <t>Rapid Access to Spiro[4.6]-(di)benzodiazepine Indenes: Regioselective Rh(III)-Catalyzed Cascade C–H Activation/Spiroannulation</t>
  </si>
  <si>
    <t>Annulative Coupling of β‑Ketosulfoxonium Ylides, β‑Ketothioamides, and Aldehydes: Access to Highly Functionalized Dihydrothiophenes</t>
  </si>
  <si>
    <t>Regioselectivity Switching in the Tandem Reaction of Skipped Diynones with Allylic Alcohols: Stereoselective Synthesis of 4‑Allyl-2-Methylene-3(2&lt;i&gt;H&lt;/i&gt;)‑Furanones</t>
  </si>
  <si>
    <t>tert-BuONO-Promoted Nitrosation of 4‑Nitroisoxazole-Based Enamines: Synthesis of 5‑Cyanoisoxazoles and Their Application</t>
  </si>
  <si>
    <t>Ligand-Enabled Room-Temperature Three-Component Strategy for Mono-α-arylation of Acetone with Cyclic Diaryliodonium Salts and Alkenes</t>
  </si>
  <si>
    <t>Concise, Atom-Economical, and Enantiodivergent Total Synthesis of β‑Lycorane via Organocatalyzed [4+2] Cycloaddition Reaction</t>
  </si>
  <si>
    <t>π‑Extended 1,1′-Binaphthyl with Fused Pentagons</t>
  </si>
  <si>
    <t>Inherent Weakly Coordinating Oxo-Group-Directed Ruthenium(II)-Catalyzed C5 Functionalization of 2‑Arylquinolin-4(1H)‑ones</t>
  </si>
  <si>
    <t>Access to Tetrahydropyrido[1,2‑a]indol-6-one Derivatives via NHC-Catalyzed Radical Dearomatization of Indoles</t>
  </si>
  <si>
    <t>Iridium-Catalyzed Regio- and Enantioselective C7-Allylic Alkylation of 4‑Aminoindoles</t>
  </si>
  <si>
    <t>Tunable Synthesis of Polysubstituted Pyrroles via Silver-Catalyzed (3 + 2) Cycloaddition of α,β-Unsaturated Nitroketones with Isocyanides</t>
  </si>
  <si>
    <t>Electrochemically Oxidative C–H/N–H Cross-Coupling Reactions of Sulfoximines with Imidazopyridines</t>
  </si>
  <si>
    <t>Solvent-Dependent Change in the Rate-Determining Step of Au(I)-Catalyzed N‑Propargyl Benzamide Cyclization</t>
  </si>
  <si>
    <t>Stereoelectronic Tuning of Heteroaromatic γ‑Amino Acids for Turn Mimetic Design</t>
  </si>
  <si>
    <t>C–C Coupling Enabled by Mn Complexes with Diacyl Peroxides: Alkylation versus Oxygenation</t>
  </si>
  <si>
    <t>Rh(III)-Catalyzed Atroposelective C–H Cyanation of 1‑Aryl benzo[h]isoquinolines</t>
  </si>
  <si>
    <t>Visible-Light-Promoted Selenylative Radical Cyclization of 2‑Vinyl‑N‑Aryl Imines to 3H‑Indoles via Oxygen Photosensitization</t>
  </si>
  <si>
    <t>Access to SCF3‑Substituted Indolizines via a Photocatalytic Late-Stage Functionalization Protocol</t>
  </si>
  <si>
    <t>The Anthranil Core as a π‑Conjugated Bridge in the Synthesis of Molecular Photosensitizers</t>
  </si>
  <si>
    <t>All-Aza meso-Benzo-Fused Triphyrins(2.1.1): Large Bathochromic Shift and Intensified Absorption via π‑Extended Conjugation</t>
  </si>
  <si>
    <t>Ir(III)-Photocatalyzed Stereoselective Synthesis of 2‑Azadienes</t>
  </si>
  <si>
    <t>Curcumin as a Cinnamoyl Transfer Reagent via C–C(CO) Bond Scissoring in the Microwave-Assisted Reaction with Hydroxy‑p‑QMs</t>
  </si>
  <si>
    <t>Stereocontrolled Ring-Opening of Oxazolidinone-Fused Aziridines for the Synthesis of 2‑Amino Ethers</t>
  </si>
  <si>
    <t>Phenyl Spacer Modulation of 2,5-Substituted D–A-Type Siloles for Efficient Nondoped OLEDs</t>
  </si>
  <si>
    <t>NCS-Mediated Direct Synthesis of β‑Chlorosulfoxides from Unactivated Alkenes and Thiophenols</t>
  </si>
  <si>
    <t>Photocyclization of 8‑Aryloxybenzo[e][1,2,4]triazines Revisited: Unambiguous Structural Assignment of Planar Blatter Radicals by Correlation NMR Spectroscopy</t>
  </si>
  <si>
    <t>Chan-Evans-Lam Cu(II)-Catalyzed C–O Cross-Couplings: Broadening Synthetic Access to Functionalized Vinylic Ethers</t>
  </si>
  <si>
    <t>Fungal Sulfotransferase from Metarhizium majus Catalyzes the Formation of PPZ Pathway Intermediate Peramine-8‑O‑sulfate</t>
  </si>
  <si>
    <t>Further Confirmation of the Structure of 3′-(2-Pyridyldithio)-3′-deoxyadenosine and 3′-Thio-3′-deoxyadenosine: Synthetic Convergence with Cordycepin</t>
  </si>
  <si>
    <t>Blue-Light-Irradiated Copper-Catalyzed Regio-tunable Double C–H/C–H Cross-Coupling Reaction: A Sustainable Approach to Construct C2‑Indolyl-1,4-naphthoquinones</t>
  </si>
  <si>
    <t>The Mechanism of the Rappe RearrangementA Stereochemical Investigation Using Density Functional Theory</t>
  </si>
  <si>
    <t>Regioselective Synthesis of (E)‑3-((Alkylamino)methylene)-2-thioxothiochroman-4-one Derivatives and Their Regioselective Cycloaddition with Alkynes</t>
  </si>
  <si>
    <t>π‑Truncation of a Parent Nanographene: Chirally Twisted Green Fluorophores</t>
  </si>
  <si>
    <t>General Strategy to Access N‑Aryl Heptamethine Indocyanines for Optical Tuning</t>
  </si>
  <si>
    <t>Synthesis of 8H‑Indolo[3,2,1-de]phenanthridin-8-ones via Pd(OAc)2‑Catalyzed Double Oxidative Coupling Dehydrogenations</t>
  </si>
  <si>
    <t>Inhibited Hydrolysis of 4‑(N,N‑Dimethylamino)aryl Imines in a Weak Acid by Supramolecular Encapsulation inside Cucurbit[7]uril</t>
  </si>
  <si>
    <t>Synthesis of 2‑Hydroxycarbazoles via Rh(III)-Catalyzed Cascade Cyclization of Indolyl Nitrones with Alkylidenecyclopropanes</t>
  </si>
  <si>
    <t>Distinct Selectivity of 2‑Aryl Thioquinazolinones in the Sulfur Directing Rh(III)-Catalyzed Amidation Reaction</t>
  </si>
  <si>
    <t>Further Mechanistic Investigations into the Blue Light-Driven O–H Functionalization of Alcohols by Aryldiazoacetates</t>
  </si>
  <si>
    <t>Palladium Catalyst-Controlled Regiodivergent C–H Arylation of Thiazoles</t>
  </si>
  <si>
    <t>Chalcogen Bonding with Telluronium Cations: toward Selective Population of Tellurium σ‑Holes by Lewis Bases</t>
  </si>
  <si>
    <t>Manganese Complex-Catalyzed (De)hydrogenative Cyclization toward the Selective Synthesis of 2‑Substituted and 2,3-Disubstituted 4‑Quinolones</t>
  </si>
  <si>
    <t>Total Synthesis of (±)-Streptoglyceride A and of Putative (±)-Streptoglyceride C</t>
  </si>
  <si>
    <t>Slice-Selective NMR for Quantitative Analysis of Liquid–Liquid Biphasic Systems: A Tool for Organic Chemists</t>
  </si>
  <si>
    <t>Rise of Ketone α‑Hydrolysis: Revisiting SNAcyl, E1cB Mechanisms and Carbon-Based Leaving Groups in One Reaction for Drug-Targeting Applications</t>
  </si>
  <si>
    <t>P(O)Me2–Alkenes: From Synthesis to Applications</t>
  </si>
  <si>
    <t>Deconstruction of Desacetamidocolchicine’s B Ring Reveals a Class 3 Atropisomeric AC Ring with Tubulin Binding Properties</t>
  </si>
  <si>
    <t>Cu(I)-Catalyzed Stereoselective Glycosylation of “Electron-Deficient” Glycals</t>
  </si>
  <si>
    <t>Ni/Pd Dual-Catalysis Strategy for C(sp2)–Sb Cross-Coupling of Halostibines with Aryl Triflates and Applications of Products as Coupling Reagents, Ligands, and Anticancer Compounds</t>
  </si>
  <si>
    <t>Synthesis of 3,6-Dihydro‑2H‑thiopyrans from α‑Diazo-β-diketones and Vinylthiiranes via [5 + 1] Annulation</t>
  </si>
  <si>
    <t>Quantification of the H‑Bond-Donating Ability of Trifluoromethyl Ketone Hydrates Using a Colorimetric Sensor</t>
  </si>
  <si>
    <t>In Situ Generation and [3 + 2] Annulation Reactions of PropiolaldehydeA Metal-Free, Cascade Route to Pyrazole and Bipyrazole Carboxaldehydes in One Pot</t>
  </si>
  <si>
    <t>Synthesis of Sulfonylthiophenes through [3+2] Cycloaddition of Pyridinium 1,4-Zwitterionic Thiolates with (E)‑β-Iodovinyl Sulfones or Bromoallylsulfones</t>
  </si>
  <si>
    <t>Factors Influencing the Product Selectivity of Rh2(OAc)4‑Catalyzed Reactions of Diazoketones with Aziridines</t>
  </si>
  <si>
    <t>Ce(OTf)3‑Catalyzed Asymmetric 6π Cyclization of Triaryldivinyl Ketones</t>
  </si>
  <si>
    <t>Ce(OTf)&lt;sub&gt;3&lt;/sub&gt;‑Catalyzed Asymmetric 6π Cyclization of Triaryldivinyl Ketones</t>
  </si>
  <si>
    <t>Quinol–Enedione Rearrangement</t>
  </si>
  <si>
    <t>Total Synthesis of the Melodinus Alkaloid (±)-Melohemsine K</t>
  </si>
  <si>
    <t>Nitroalkanes as Ketone Synthetic Equivalents in C–N and C–S Bond Formation Reactions</t>
  </si>
  <si>
    <t>PhICl2/KSeCN Mediated Synthesis of Selenopheno[3,2‑b]indoles and 3‑Selenocyanato-2-benzoselenophene Indoles from 1,3-Diynes via Double Electrophilic Cyclization</t>
  </si>
  <si>
    <t>Visible-Light-Driven Tandem Cyclization of &lt;i&gt;o&lt;/i&gt;‑Hydroxyaryl Enaminones: Access to 3‑(α-Arylsulfonamido)trifluoroethyl Chromones</t>
  </si>
  <si>
    <t>N‑Heterocyclic Carbene-Carbodiimide (NHC-CDI) Adducts: A Systematic Investigation of Electronic Modifications on Kinetic and Thermodynamic Properties of Adduct Association and Dissociation</t>
  </si>
  <si>
    <t>A Flash Conversion to Aromatic Azo Compounds Expedited by Hydrazine–Trifluoroacetate Hydrogen Bonding</t>
  </si>
  <si>
    <t>Synthesis of Phenanthrenes and Naphthoquinone Fused Benzoxepines via Hauser–Kraus Annulation of Sulfonylphthalide with Morita–Baylis–Hillman Adducts of Nitroalkenes</t>
  </si>
  <si>
    <t>A Mechanistic Perspective on Photocatalytic EnT-Enabled C3-N-Heteroarylation of Aryl Quinoxaline via C(sp2)–C(sp2) Coupling</t>
  </si>
  <si>
    <t>CAN-Mediated Synthesis of 2‑Deoxy Sugars: Access to Chiral 2‑Deoxy 3‑Bisindolyl‑C‑glycosides</t>
  </si>
  <si>
    <t>Hydrogen Atom Transfer-Based C(sp3)–H Bond Oxygenation of Lactams and Cycloalkenes: The Influence of Ring Size on Reactivity and Site Selectivity</t>
  </si>
  <si>
    <t>Sodium Poly(heptazine imide)-Enabled Oxytrifluoromethylation of Alkenes for the Synthesis of α‑CF3 Ketones</t>
  </si>
  <si>
    <t>Fe/Mn-Synergistic Promoted C(sp3)–Bi Cross-Coupling of Alkyl Chlorides with Chlorobismuthanes to Access Air-Stable Alkylbismuthanes</t>
  </si>
  <si>
    <t>A Route to the Mild Synthesis of α‑Selenomethylketones via Vinyl Azides</t>
  </si>
  <si>
    <t>(3+2) Annulation of Donor–Acceptor Cyclopropanes with Difluoroenoxysilanes: Syntheses of gem-Difluorocyclopentenes via α,α-Difluoroketone Scaffolds</t>
  </si>
  <si>
    <t>Ring-Size-Dependent Selectivity of the β‑Hydride Elimination in Heck-Type Arylations of exo-Methylene Cycloketones: Chalcones versus 2‑Benzyl-1-naphthols</t>
  </si>
  <si>
    <t>Highly Stereoselective [2 + 4] Annulation of Phosphenes and Enones with β‑Electron-Donating Groups</t>
  </si>
  <si>
    <t>Thiazoles via Formal [4 + 1] of NaSH to (Z)‑Bromoisocyanoalkenes</t>
  </si>
  <si>
    <t>Construction of the Tetracyclic Skeleton of Polycyclic Norcembranoids Sinudenoids B–D Via Ireland-Claisen Rearrangement</t>
  </si>
  <si>
    <t>Electrochemical Synthesis of γ‑Lactones from the Intermolecular Oxidative Coupling between Malonates and Styrenes</t>
  </si>
  <si>
    <t>Lewis Acid-Mediated Domino Glycosylation/Cyclization of Substituted Glycals: A Stereoselective Route Toward the Synthesis of 1,2-Annulated C‑Glycosides</t>
  </si>
  <si>
    <t>Tandem Synthesis of Polysubstituted Pyrroles via Cu(I)-Catalyzed Cyclization of Ketene N,S-Acetals with β‑Ketodinitriles</t>
  </si>
  <si>
    <t>Intramolecular ortho Photocycloaddition of 4‑Substituted 7‑(4′-Alkenyloxy)-1-indanones and Ensuing Reaction Cascades</t>
  </si>
  <si>
    <t>Visible Light-Mediated Selective Synthesis of β‑Amino Sulfide Scaffolds via Dual Role of N‑Iodosuccinimide</t>
  </si>
  <si>
    <t>Dynamically Generated Carbenium Species via Photoisomerization of Cyclic Alkenes: Mild Friedel–Crafts Alkylation</t>
  </si>
  <si>
    <t>Visible-Light-Mediated Three-Component Alkene 1,2-Alkylpyridylation Reaction Using Alkylboronic Acids as Radical Precursors for the Synthesis of 4‑Alkylpyridines</t>
  </si>
  <si>
    <t>Visible-Light-Driven Synergistic Se/Fe Catalysis for the Synthesis of 2‑Aminoquinoline Derivatives</t>
  </si>
  <si>
    <t>Synthesis of N‑Heterocycle-Ligated Porphyrins Using Iodobenzene Diacetate Enabled Regioselective Cross-Dehydrogenation of Porphyrins and NH-Heteroaromatics</t>
  </si>
  <si>
    <t>CO2•– Enabled Synthesis of Phenanthridinones, Oxindoles, Isoindolinones, and Spirolactams</t>
  </si>
  <si>
    <t>Minisci C–H Alkylation of Heterocycles with Unactivated Alkyl Iodides Enabled by Visible Light Photocatalysis</t>
  </si>
  <si>
    <t>&lt;i&gt;Meta&lt;/i&gt;-, Regioselective Amination of Cyclic Diaryliodoniums through C–I and C–O Bond Cleavages: An Access to Functionalized Coumarins</t>
  </si>
  <si>
    <t>Meta-, Regioselective Amination of Cyclic Diaryliodoniums through C–I and C–O Bond Cleavages: An Access to Functionalized Coumarins</t>
  </si>
  <si>
    <t>Trifluoromethylation on a Nucleoside Sugar Scaffold: Design and Synthesis of 6′-Trifluoromethylcyclopentenyl-purine and -pyrimidine Nucleosides</t>
  </si>
  <si>
    <t>C3-Heteroarylation of Indoles via Cu(II)-Catalyzed Aminocupration and Subsequent Nucleophilic Addition of o‑Alkynylanilines</t>
  </si>
  <si>
    <t>One-Pot Alkynylation/Isomerization Cascade of β‑Formylated Enoates to Functionalized Ynones</t>
  </si>
  <si>
    <t>Synthesis of a Natural Product-Based 5H‑Thiazolo[5′,4′:5,6]pyrido[2,3‑b]indole Derivative via Solid-Phase Synthesis</t>
  </si>
  <si>
    <t>NHC-BH3‑Mediated Reduction of Sulfonyl Hydrazides into Disulfides and Further Cross-Coupling with Chlorostibine and Bioactivities</t>
  </si>
  <si>
    <t>B←N Lewis Pair-Functionalized Perylenes: Tuning Optoelectronic Properties via Regioisomerization</t>
  </si>
  <si>
    <t>Multicomponent Tf2O‑Triggered Dearomative Triazinylmethylation of Isoquinolines Using Acetonitrile</t>
  </si>
  <si>
    <t>C–H Aminoalkylation of 5‑Membered Heterocycles: Influence of Descriptors, Data Set Size, and Data Quality on the Predictiveness of Machine Learning Models and Expansion of the Substrate Space Beyond 1,3-Azoles</t>
  </si>
  <si>
    <t>Visible Light-Induced Sequential Nitrogen Insertion and Benzotriazolation of Quinoxaline-2(1H)‑ones</t>
  </si>
  <si>
    <t>Enantio- and Regioselective Propargylation and Allenylation of β,γ-Unsaturated α‑Ketoesters with Allenyl Boronate Regulated by Chiral Copper/Zinc</t>
  </si>
  <si>
    <t>Electrochemical Cyclization–Desulfurization Approach for the Synthesis of 1,3-Benzoxazines Using Cascade C–O and C–N Bond Formation</t>
  </si>
  <si>
    <t>Diastereoselective Synthesis of Cyclobutanes via Rh-Catalyzed Unprecedented C–C Bond Cleavage of Alkylidenecyclopropanes</t>
  </si>
  <si>
    <t>Sc-Catalyzed Asymmetric [2 + 2] Annulation of 2‑Alkynylnaphthols with Dienes to Access Cyclobutene Frameworks</t>
  </si>
  <si>
    <t>Thermocontrolled Radical Nucleophilicity vs Radicophilicity in Regiodivergent C–H Functionalization</t>
  </si>
  <si>
    <t>Construction of 3,6-Difluoropyridones via a Double Defluorinative [3 + 3] Annulation of α‑Fluoro-α-sulfonylacetamides with 2‑CF3‑Alkenes</t>
  </si>
  <si>
    <t>Direct Synthesis of 2‑Functionalized 3‑Nitroindoles from Diazo(nitro)acetanilides</t>
  </si>
  <si>
    <t>Pd(OAc)2‑Catalyzed Approach to Phenanthridin-6(5H)‑one Skeletons</t>
  </si>
  <si>
    <t>TEMPO-Mediated Direct C(sp2)–H Alkoxylation/Aryloxylation of 1,4-Quinones</t>
  </si>
  <si>
    <t>cmp</t>
  </si>
  <si>
    <t>spec</t>
  </si>
  <si>
    <t>struc</t>
  </si>
  <si>
    <t>FAILED</t>
  </si>
  <si>
    <t xml:space="preserve"> non-zip sup file</t>
  </si>
  <si>
    <t>4510 representatios</t>
  </si>
  <si>
    <t>structures</t>
  </si>
  <si>
    <t>spectra</t>
  </si>
  <si>
    <t>compounds</t>
  </si>
  <si>
    <t>properties</t>
  </si>
  <si>
    <t>representations</t>
  </si>
  <si>
    <t>representatios</t>
  </si>
  <si>
    <t>jo4c02089</t>
  </si>
  <si>
    <t>16;18a-FID;18b-FID;18c-FID;18f-FID;18g-FID;18h-FID;18j-FID;18k-FID;18l-FID;18m-FID;18n-FID;19aa-FID;20aa-FID;20ab-FID;20af-FID;20ai-FID;20bb-FID;20cc-FID;20dd-FID;20ee-FID;20ff-FID;20gg-FID;20hh-FID;21aaa-FID;21acc-FID;22;23;24a-FID;24b-FID;24c-FID;24f-FID;24g-FID;24h-FID;24i-FID;24j-FID;24l-FID;24o-FID;24p-FID;27-FID</t>
  </si>
  <si>
    <t>jo4c02094</t>
  </si>
  <si>
    <t>1a;1b;1c;1d;1e;1f;1g;1h;1i;3a;3aa;3ab;3ac;3ad;3ae;3af;3ag;3ah;3ai;3aj;3b;3c;3d;3e;3f;3g;3h;3i;3j;3k;3l;3m;3n;3o;3p;3q;3r;3s;3t;3u;3v;3w;3x;3y;3z;4a;4b;4c;4d;4e;4f;4g;4h;4i;4j;4k;4l;5a;5b;5c;5d;5e;5f;5g</t>
  </si>
  <si>
    <t>jo4c02335</t>
  </si>
  <si>
    <t>13C</t>
  </si>
  <si>
    <t>1H</t>
  </si>
  <si>
    <t>C</t>
  </si>
  <si>
    <t>jo4c02450</t>
  </si>
  <si>
    <t>compound</t>
  </si>
  <si>
    <t>jo4c02490</t>
  </si>
  <si>
    <t>10;1c;1d;1e;1g;1h;1j;2e;4h;5a;5b;5c;5d;5e;5f;5g;5h;5i;5j;5k;5l;5m;5n;5o;5p;6a;6b;6c;6d;6e;7a;7b;7c;7d;7e;7f;7g;7h;8a;8b;8c;8d;8e;8f;8g;8h;8i;8j</t>
  </si>
  <si>
    <t>jo4c02546</t>
  </si>
  <si>
    <t>guest_exchange;phenyl_exchange;2.xyz;2@CB8;CB7;CB8</t>
  </si>
  <si>
    <t>jo4c02600</t>
  </si>
  <si>
    <t>4a;4b;4c;4d;4e;4f;4g;4h;4i;4j;4k;4l;4m;4n;4o;4p;4q;4r;4s;4t;5a;5b;5c;5d;5e;5f;5g;5h;5i;6a;6b;6c;6d</t>
  </si>
  <si>
    <t>jo4c02622</t>
  </si>
  <si>
    <t>S1a;S1b;S1c;S1d;S1e;S1f;S1g;S1h;S1i;S1j;S1k;S1l;S1m;S1n;S1o;S1p;S1q;S1r;S1s;S1t;S1u;1a;1b;1c;1d;1e;1f;1g;1h;1i;1j;1k;1l;1m;1n;1o;1p;1q;1r;1s;2a;3a;3ab;3ac;3b;3c;3d;3e;3f;3g;3h;3i;3j;3k;3l;3m;3n;3p;3q;4;5;7;8a;8b;8c</t>
  </si>
  <si>
    <t>jo4c02634</t>
  </si>
  <si>
    <t>10;11;13;15;18a;18b;19a;19b;3a;3b;3c;3d;3e;3f;3g;3h';3h;3i;3j;3k';3k;7;8;9</t>
  </si>
  <si>
    <t>jo4c02638</t>
  </si>
  <si>
    <t>1aa;1ab;1ac;1ad;1ae;1af;1ag;1ah;1ai;1aj;1ak;1c;1d;1g;1i;1j;1l;1m;1o;1q;1s;1v;1w;1y;1z;2a;2b;2c;2e;2f;2g;2h;2i;2j;2k;2l;2m;2n;2o;2p;2q;2r;2s;2t;2u;4C;4a;4aa;4ab;4ac;4ad;4ae;4af;4ag;4ah;4b;4d;4e;4g;4h;4i;4j;4k;4l;4m;4n;4o;4p;4q;4s;4t;4u;4v;4w;4x;4y;4z;5a;7a;S3ba;S3bb;S3bc;S3bd;S3be;S3bf;S3bg</t>
  </si>
  <si>
    <t>jo4c02652</t>
  </si>
  <si>
    <t>jo4c02669</t>
  </si>
  <si>
    <t>1a;1b;2a;2b;3a;3b;3c;Data.docx</t>
  </si>
  <si>
    <t>jo4c02691</t>
  </si>
  <si>
    <t>10a+10a';10b';10b;NOESY;10c';10c;10d;10e;10f';10f;10g;10h;10i';10i;10j';10j;10k';10k;10l;10m';10m;10n;10o;10p;10q;10r;12a;12b;12c;12d;12e;12f;12g;12h;12i;12j;12k;12l;12m;12n;12o;12p;12q;12r;12s;17e';17e;17g;17h';17h;17j';17j;17l;17m;17o;17p;17q;17r;18a';18a;18e';18e;18n;18o;18p;18q;20a;21a';21a;25;i;ii;iii;iv;v;vi;vii</t>
  </si>
  <si>
    <t>jo4c02715</t>
  </si>
  <si>
    <t>jo4c02737</t>
  </si>
  <si>
    <t>1d-EPO;1d-Q;1d;1m-EPO;1m-Q;1m;2d-EPO;2d-Q;2d;2m-EPO;2m-Q;2m;3d-EPO;3d-Q;3d;3m-EPO;3m-Q;3m;4d-EPO;4d-Q;4d;4m-EPO;4m;5d-EPO;5d-Q;5d;5m-EPO;5m-Q;5m;6d-EPO;6d-Q;6d;6m-EPO;6m-Q;6m</t>
  </si>
  <si>
    <t>jo4c02787</t>
  </si>
  <si>
    <t>jo4c02834</t>
  </si>
  <si>
    <t>10g.mnova;11g.mnova;12g.mnova;1a-d.mnova;1b.mnova;1h.mnova;1i.mnova;1k.mnova;1l.mnova;1p.mnova;1r.mnova;1s.mnova;1t.mnova;1u.mnova;1v.mnova;1w.mnova;1x.mnova;1y.mnova;2a-d1.mnova;2a-d8.mnova;2a.mnova;2b.mnova;2c.mnova;2d.mnova;2e.mnova;2f.mnova;2g.mnova;2h.mnova;2i.mnova;2j.mnova;2k.mnova;2l.mnova;2m.mnova;2n.mnova;2o.mnova;2s.mnova;2t.mnova;2u.mnova;2v.mnova;2w.mnova;2x.mnova;2y.mnova;2z.mnova;3.mnova;4.mnova;5g.mnova;6g.mnova;7g.mnova;7gâ€™.mnova;9g.mnova</t>
  </si>
  <si>
    <t>jo4c02842</t>
  </si>
  <si>
    <t>3a;3b;3c;3d;3e;3f;3g;3h;4a;4b;4c;4d;4e;4f;6</t>
  </si>
  <si>
    <t>jo4c02844</t>
  </si>
  <si>
    <t>10_13C.mnova;10_1H.mnova;11_13C.mnova;11_1H.mnova;12_13C.mnova;12_1H.mnova;13_13C.mnova;13_1H.mnova;14_13C.mnova;14_1H.mnova;15_13C.mnova;15_1H.mnova;1_13C.mnova;1_1H.mnova;2_13C.mnova;2_1H.mnova;3_13C.mnova;3_1H.mnova;4_13C.mnova;4_1H.mnova;5_13C.mnova;5_1H.mnova;6_13C.mnova;6_1H.mnova;7_13C.mnova;7_1H.mnova;8_13C.mnova;8_1H.mnova;9_13C.mnova;9_1H.mnova</t>
  </si>
  <si>
    <t>jo4c02860</t>
  </si>
  <si>
    <t>A1;A10;A11;A12;A13;A14;A15;A16;A17;A18;A19;A2;A20;A21;A22;A23;A24;A25;A26;A27;A28;A29;A3;A30;A31;A4;A5;A6;A7;A8;A9;C1;C10;C11;C12;C13;C14;C15;C16;C17;C18;C19;C2;C20;C21;C22;C23;C24;C25;C26;C27;C28;C29;C3;C30;C31;C32;C4;C5;C6;C7;C8;C9;D1</t>
  </si>
  <si>
    <t>1[4]H.ZIP__;1[5]H.ZIP__;1[6]H.ZIP__;1[7]H.ZIP__</t>
  </si>
  <si>
    <t>jo4c02921</t>
  </si>
  <si>
    <t>1a;1b;1c;2b;2c;2e;2f;2g;2m;2n;3a-major;3a-minor;3b;3c;3d;3e-major;3f-major;3f-minor;3h-major;3h-minor;3i;3j;3k;3l;3m;3n-major;3n-minor;3o_major;3o_minor;3p_major;3p_minor;3p_minor_new;3q;3r;3s;3t;4;5;6;9a;9b;9c</t>
  </si>
  <si>
    <t>jo4c02967</t>
  </si>
  <si>
    <t>1a;1b;1c;1d;1e;1f;1g;1h;1i;1j;1k;1l;1m;1n;1o;1p;1q;2i;1r;1s;1t;1u;1v;1w;1x;1y;2a;2b;2c;2d;2e;2f;2g;2h;2j;2k;2l;2m;2n;2o;2p;2q;2r;2s;2t;2u;2v;2w;2x;2z;3a;3b;3e;3h;3l;3m;3o;3r;3s;4a;4b;5a;5b;5c;6;7;8</t>
  </si>
  <si>
    <t>jo4c03015</t>
  </si>
  <si>
    <t>11B;13C;19F;1H</t>
  </si>
  <si>
    <t>jo4c03046</t>
  </si>
  <si>
    <t>jo4c03071</t>
  </si>
  <si>
    <t>3a;3b;3c;3d;3e;3f;3g;3h;3i;3j;3k;3l;3m;3n;3o;3p;3q;3r;3s;3t;3u;3v;3w;3x;3y;4;5</t>
  </si>
  <si>
    <t>jo4c03085</t>
  </si>
  <si>
    <t>jo4c03092</t>
  </si>
  <si>
    <t>2a;2aa;2ab;2b;2c;2d;2e;2f;2g;2h;2i;2j;2k;2l;2ls;2m;2n;2o;2p;2q;2r;2s;2t;2u;2v;2w;2x;2y;2z;3;5a;5b;5c;1a;1aa;1ab;1b;1c;1d;1e;1f;1g;1h;1i;1j;1k;1m;1n;1o;1p;1q;1r;1s;1t;1u;1v;1x;1z</t>
  </si>
  <si>
    <t>jo4c03094</t>
  </si>
  <si>
    <t>1aaaa-C;1aaaa-H;1aaac-C;1aaah-H;1aaak-H;1aaal-H;1aach-H;1baar-C;1caaa-C;1caah-C;3-H;4-H</t>
  </si>
  <si>
    <t>jo4c03118</t>
  </si>
  <si>
    <t>jo4c03140</t>
  </si>
  <si>
    <t>26;27;28;29;30;31;32;34;35;36;37;38;39;4;40;41;42;43;44</t>
  </si>
  <si>
    <t>jo4c03150</t>
  </si>
  <si>
    <t>for</t>
  </si>
  <si>
    <t>jo4c03180</t>
  </si>
  <si>
    <t>1o</t>
  </si>
  <si>
    <t>2a</t>
  </si>
  <si>
    <t>NMR</t>
  </si>
  <si>
    <t>jo4c03181</t>
  </si>
  <si>
    <t>jo5c00007</t>
  </si>
  <si>
    <t>jo5c00061</t>
  </si>
  <si>
    <t>[10b-CC];[10b-NC];[11b];[11s];[12b];[13b];[16s];[1a];[1b];[1c];[1e];[1f];[1g];[1h];[1i];[1j];[1k];[1l];[1n];[1o];[1p];[1q];[1r];[1s];[1t];[1u];[1v];[2a];[2b];[2c];[2d];[2e];[2f];[2g];[2gg];[2i];[2j];[2k];[2l];[2m];[2n];[2o];[2s];[2t];[3a];[4b];[5b-major];[5b-minor];[5bII];[7b];[8b];[8s];[9b];[E12s];[E13s];[E15b];[E15s]</t>
  </si>
  <si>
    <t>jo5c00117</t>
  </si>
  <si>
    <t>jo5c00149</t>
  </si>
  <si>
    <t>14;1n;3a;3aa;3ab;3ac+3ad;3ae;3b;3c;3d;3e;3f;3g;3h;3i;3j;3k;3l;3m;3n;3o;3p;3q;3r;3s;3t;3u;3v;3w;3x;3y+3z;4a;4b;4c;4d;4e;4f;4g</t>
  </si>
  <si>
    <t>jo5c00156</t>
  </si>
  <si>
    <t>3l;13C</t>
  </si>
  <si>
    <t>jo5c00161</t>
  </si>
  <si>
    <t>jo5c00171</t>
  </si>
  <si>
    <t>jo5c00184</t>
  </si>
  <si>
    <t>jo5c00188</t>
  </si>
  <si>
    <t>3a;3b;3c;3d;3e;3f;3g;3h;3i;3j;3k;3l;3m;3n;3o;3p;3q;3r;3s;3t;3u;3v;3w;3x;3y;3z;4c;4d;4e;4f;5a;5b;5c;5d;5e;5f;5g;6a</t>
  </si>
  <si>
    <t>jo5c00189</t>
  </si>
  <si>
    <t>2a.zip__;2b.zip__;2c.zip__;2a-k.zip__;2d;2e.zip__;2f.zip__;2g.zip__;2h.zip__;2i.zip__;2j.zip__;2k.zip__;4a.zip__;4b.zip__;4a-k.zip__;4c.zip__;4d.zip__;4e.zip__;4f.zip__;4g.zip__;4h.zip__;4i.zip__;4j.zip__;4k.zip__;5a.zip__;5b.zip__;5c.zip__;5d.zip__;5e.zip__;5a-e.zip__;6c';6c.zip__;6d.zip__;7f.zip__;9a.zip__;9b.zip__;9a-g.zip__;9c.zip__;9d.zip__;9e.zip__;9f.zip__;9g.zip__</t>
  </si>
  <si>
    <t>jo5c00193</t>
  </si>
  <si>
    <t>jo5c00246</t>
  </si>
  <si>
    <t>jo5c00270</t>
  </si>
  <si>
    <t>10;3a;3b;3c;3d;3e;3f;3g;3h;3i;3j;3k;3l;3n-I;3n-II;3o-I;3o-II;3p;3s;4a;4b;4c;4d;4e;4f;4h;4i;4j;4k;4l;4o;4q;4s;6;S2;S6</t>
  </si>
  <si>
    <t>jo5c00284</t>
  </si>
  <si>
    <t>jo5c00316</t>
  </si>
  <si>
    <t>10;11;12;DMSO;Pyridine;14a;14b;14c;14d;2d;3a;3aa;3ab;3ac;3ad;3b;3c;3d;3e;3f;3g;3h;3i;3j;3k;3l;3m;3n;3o;3p;3q;3r;3s;3t;3u;3v;3w;3x;3y;3z;5;6;7;8;9</t>
  </si>
  <si>
    <t>jo5c00317</t>
  </si>
  <si>
    <t>jo5c00330</t>
  </si>
  <si>
    <t>3aa;3ab;3ac;3ad;3ae;3af;3ag;3ah;3ai;3aj;3am;3ba;3ca;3da;3ea;3fa;3ga;3ka;3la;3ma;4;5;1d;1e;1h;1i;1j;2a;2b;2d;2e;2f;2g;2h;2i;2j;2k;2l</t>
  </si>
  <si>
    <t>jo5c00369</t>
  </si>
  <si>
    <t>jo5c00389</t>
  </si>
  <si>
    <t>11;13';13;14;15;16;17;18;19;20;5;6;7;9;SI1</t>
  </si>
  <si>
    <t>jo5c00424</t>
  </si>
  <si>
    <t>3a;3aa;3ab;3ac;3ad;3ae;3af;3ag;3ah;3ai;3ak;3al;3am;3an;3ao;3b;3c;3d;3e;3f;3g;3h;3i;3j;3k;3l;3m;3n;3o;3q;3r;3s;3t</t>
  </si>
  <si>
    <t>jo5c00472</t>
  </si>
  <si>
    <t>jo5c00474</t>
  </si>
  <si>
    <t>A1;A1_FID;A2;A2_FID;B1;B1_FID;C1;C1_FID;CH3C(CH2Br)3;CH3C(CH2Br)3_FID</t>
  </si>
  <si>
    <t>jo5c00508</t>
  </si>
  <si>
    <t>jo5c00513</t>
  </si>
  <si>
    <t>jo5c00521</t>
  </si>
  <si>
    <t>C;5</t>
  </si>
  <si>
    <t>jo5c00526</t>
  </si>
  <si>
    <t>jo5c00545</t>
  </si>
  <si>
    <t>jo5c00606</t>
  </si>
  <si>
    <t>jo5c00609</t>
  </si>
  <si>
    <t>10;11;12;13;14;15;16;17a;17b;17c;3a;3ab;3b;3c;3d;3e;3f;3g;3h;3i;3j;3k;3l;3m;3n;3o;3p;3q;3r;3s;3t;3u;3v;3w;3x;3y;3z;5a;5b;7a;7b;7c;7d;7e;9</t>
  </si>
  <si>
    <t>jo5c00613</t>
  </si>
  <si>
    <t>2a;2aa;2ab;2ac;2ad;2b;2c;2d;2e;2f;2g;2h;2i;2j;2k;2l;2m;2n;2o;2p;2q;2r;2s;2t;2u;2v;2w;2x;2y;2z;3a;3aa;3ab;3ac;3ad;3ae;3af;3ag;3ah;3ai;3aj;3ak;3b;3c;3d;3e;3f;3g;3h;3i;3j;3k;3l;3m;3n;3o;3p;3q;3r;3s;3t;3u;3v;3w;3x;3y;3z;4;5;6;7</t>
  </si>
  <si>
    <t>jo5c00614</t>
  </si>
  <si>
    <t>jo5c00649</t>
  </si>
  <si>
    <t>Complex_1+2;Complex_1+3;Complex_1+4;Complex_1+5;Complex_1+6;Complex_1+7;Complex_2+3;Complex_2+4;Complex_2+5;Complex_2+6;Complex_2+7;Complex_3+4;Complex_3+5;Complex_3+6;Complex_3+7;Complex_4+5;Complex_4+6;Complex_4+7;Dimer_1+1;Dimer_2+2;Dimer_3+3;Dimer_4+4;Monomer_1;Monomer_2;Monomer_3;Monomer_4;Monomer_5;Monomer_6;Monomer_7</t>
  </si>
  <si>
    <t>jo5c00670</t>
  </si>
  <si>
    <t>jo5c00717</t>
  </si>
  <si>
    <t>au_zg_slice;gradrec;multi_add;slice_vf;zg-slice;zg2dslice</t>
  </si>
  <si>
    <t>jo5c00727</t>
  </si>
  <si>
    <t>1;2;3;4;5;6;7</t>
  </si>
  <si>
    <t>jo5c00741</t>
  </si>
  <si>
    <t>Kaszynski_PhotoRevisit_SI.pdf;1a;1b;1c;1d;1e;1f;1g;1h;1i</t>
  </si>
  <si>
    <t>jo5c00774</t>
  </si>
  <si>
    <t>jo5c00794</t>
  </si>
  <si>
    <t>jo5c00884</t>
  </si>
  <si>
    <t>jo5c00912</t>
  </si>
  <si>
    <t>jo5c00952</t>
  </si>
  <si>
    <t>jo5c00954</t>
  </si>
  <si>
    <t>jo5c01002</t>
  </si>
  <si>
    <t>jo5c01060</t>
  </si>
  <si>
    <t>10;3a;3aa';3aa;3ab';3ab;3ac';3ac;3ad';3ad;3ae';3ae;3af';3af;3ag;3ah;3ai;3aj;3b;3c;3d;3e;3f;3g;3h;3i;3j;3k;3l;3m;3n;3o;3p;3q;3r';3r;3s';3s;3t';3t;3u';3u;3v;3w';3w;3x';3x;3y';3y;3z';3z;5a';5a;5b';5b;5c';5c;5d';5d;5e';5e;5f';5f;5g';5g;5h';5h;5i';5i;5j';5j;6;7;8;9</t>
  </si>
  <si>
    <t>jo5c01068</t>
  </si>
  <si>
    <t>10;11a;11b;11c;11d;11e;11f;11g;11h;11i;12;13;14;15;16;17;18;19;1a';1a;1d;20;3a;3b;4a;4b;4d;5a';5a;5b;5c;8a;8b;8c;8d;8e;8f;8g;8h;8i;8j;9a;9aa;9b;9c;9d;9e;9f;9g;9h;9i</t>
  </si>
  <si>
    <t>jo5c01082</t>
  </si>
  <si>
    <t>1a;1b;1c;1d;1e;1f;1g;1h;1i;1j;1k;1l;1m;1n;1o;1p;1q;1r;1s;1t;1u;1v;1w;1x;1y;1z;2a;2b;2c;2d;2e;2f;2g;2h;2i;2j;2k;2l;2m';2m;2n';2n;2o;2p;2q;2r;2s;2t;2u;2v;2w;2x;2y;2z</t>
  </si>
  <si>
    <t>jo5c01113</t>
  </si>
  <si>
    <t>jo5c01140</t>
  </si>
  <si>
    <t>Acetonitrile-HOO.xyz;Acetonitrile.xyz;CHD-HOO-Acetonitrile_TS.xyz;CHD-HOO-DABCO_TS.xyz;CHD-HOO-DMSO_TS.xyz;CHD-HOO-Methanol_TS.xyz;CHD-HOO-Pyridine_TS.xyz;Cyclohexadiene.xyz;DABCO-HOO.xyz;DABCO.xyz;DMSO-HOO.xyz;DMSO.xyz;HOO-HOO-Acetonitrile_TS.xyz;HOO-HOO-DABCO_TS.xyz;HOO-HOO-DMSO_TS.xyz;HOO-HOO-Methanol_TS.xyz;HOO-HOO-Pyridine_TS.xyz;HOO-HOO_TS.xyz;HOO.xyz;Methanol-HOO.xyz;Methanol.xyz;Pyridine-HOO.xyz;Pyridine.xyz</t>
  </si>
  <si>
    <t>jo5c01207</t>
  </si>
  <si>
    <t>QA-1.xyz;QA-I1.xyz;QA-P1.xyz;QA-P2.xyz;QA-TS1.xyz;QA-TS2.xyz;QA-TS3.xyz;QT-1.xyz;QT-I1.xyz;QT-P1.xyz;QT-P2.xyz;QT-TS1.xyz;QT-TS2.xyz;QT-TS3.xyz</t>
  </si>
  <si>
    <t>jo5c01245</t>
  </si>
  <si>
    <t>13C-2a';13C-3aa;13C-3ab;13C-3ac;13C-3ad;13C-3ae;13C-3af;13C-3ag;13C-3ah;13C-3ai;13C-3aj;13C-3ak;13C-3ba;13C-3ca;13C-3da;13C-3ea;13C-3fa;13C-3ga;13C-3ha;13C-3ia;13C-3ja;13C-3ka;13C-3la;13C-3ma;19F-3ae;19F-3af;19F-3ga;1H-2a';1H-3aa;1H-3ab;1H-3ac;1H-3ad;1H-3ae;1H-3af;1H-3ag;1H-3ah;1H-3ai;1H-3aj;1H-3ak;1H-3ba;1H-3ca;1H-3da;1H-3ea;1H-3fa;1H-3ga;1H-3ha;1H-3ia;1H-3ja;1H-3ka;1H-3la;1H-3ma</t>
  </si>
  <si>
    <t>jo5c01279</t>
  </si>
  <si>
    <t>A;B;C;D;E;F;TS-AB;TS-BC;TS-EF;Catalyst-solvent-and-other-TS;TS-CD</t>
  </si>
  <si>
    <t>jo5c01353</t>
  </si>
  <si>
    <t>3a;3b;3c;3d;3e;3f;3g;3h;3i;3j;3k;3l;3m;3n;3o;3p;3q;3r;3s;3t;3u;3v;4;L1;L2;L3;L4;L5;L6;L7</t>
  </si>
  <si>
    <t>jo5c01387</t>
  </si>
  <si>
    <t>3a;3b;3c;3d;3e;3f;3g;3h;3i;3j;3k;3l;3m;3n;3o;3p;3q;3r;3Ab;3Ac;3Ad;3Ae;3Ba;3Bc;3Bd;3Be;3Ca;3Cb;3Cd;3Ce;3Da;3Db;3Ea;3Fa</t>
  </si>
  <si>
    <t>jo5c01409</t>
  </si>
  <si>
    <t>1;10;11'';11';11;12;14;15;16;17;18;8;9</t>
  </si>
  <si>
    <t>jo5c01422</t>
  </si>
  <si>
    <t>3aa;3ag;3ba;3ha;3ia;3ja';3ja;3ka;3la;4aa;4ab;4ac;4ad;4ae;4ba;4ca;4da;4ea;4fa;4ia;4ja;4la;5fa;5ha;5la;6aa</t>
  </si>
  <si>
    <t>jo5c01427</t>
  </si>
  <si>
    <t>3a;3b;3c;3d;3e;3f;3g;3h;3i;3j;3k;3l;3m;3n;3o;3q;3r;3s;3t;3u;3v;3w;3x;4a;4aa;4b;4c;4d;4e;4f;4g;4h;4i;4j;4k;4l;4m;4n;4o;4r;4s;4t;4u;4v;4w;4y;5;6;8;I;Ia</t>
  </si>
  <si>
    <t>jo5c01465</t>
  </si>
  <si>
    <t>jo5c01466</t>
  </si>
  <si>
    <t>jo5c01490</t>
  </si>
  <si>
    <t>3a;3b;3c;3d;3e;3f;3g;3h;3i;3j;D-1a;3k;3l;3m;3n;3p;3q;3r;3s;4a;4b;4c;4d;4e;4f;4g;4h;4i;4j;4k;5;6</t>
  </si>
  <si>
    <t>jo5c01501</t>
  </si>
  <si>
    <t>10a-13C;10a-1H;1a'-13C;1a'-1H;1a-13C;1a-1H;1b-13C;1b-1H;1c-13C;1c-1H;1d-13C;1d-1H;1e-13C;1e-1H;1f-13C;1f-1H;1g-13C;1g-1H;1h-13C;1h-1H;1i-13C;1i-1H;1j-13C;1j-1H;1k-13C;1k-1H;1l-13C;1l-1H;1m-13C;1m-1H;1n-13C;1n-1H;1o-13C;1o-1H;1p-13C;1p-1H;1q-13C;1q-1H;1r-13C;1r-1H;1s-13C;1s1H;1t-13C;1t-1H;1u-13C;1u-1H;1v-13C;1v-1H;1w-13C;1w-1H;1x-13C;1x-1H;1y-13C;1y-1H;2a-13C;2a-1H;3a-13C;3a-1H;4-13C;4-1H;4a-13C;4a-1H;5a-13C;5a-1H;6a-13C;6a-19F;6a-1H;7a-13C;7a-1H;8a-13C;8a-1H;8z-13C;8z-1H;9a-13C;9a-1H;I-13C;I-1H</t>
  </si>
  <si>
    <t>jo5c01538</t>
  </si>
  <si>
    <t>4a_13C;4a_1H;4b_13C;4b_1H;4c_13C;4c_1H;4d_13C;4d_1H;4e_13C;4e_19F;4e_1H;4f_13C;4f_1H;4g_13C;4g_19F;4g_1H;4h_13C;4h_1H;4i_13C;4i_1H;4j_13C;4j_1H;4k_13C;4k_1H;4l_13C;4l_19F;4l_1H;4m_13C;4m_1H;4n_13C;4n_1H;4o_13C;4o_1H;4p_13C;4p_1H;4q_13C;4q_1H;4r_13C;4r_1H;4r_COSEY;4r_NOSEY;4s_13C;4s_1H;4t_13C;4t_1H;4u_13C;4u_1H;4v_13C;4v_1H;5j_13C;5j_1H;6_13C;6_1H</t>
  </si>
  <si>
    <t>jo5c01545</t>
  </si>
  <si>
    <t>3a;3a2+;3b;3b2+;3c;3c2+;3d;3d2+;spectrometer.txt</t>
  </si>
  <si>
    <t>jo5c01570</t>
  </si>
  <si>
    <t>12;14;15;4a;4aa;4ab;4ac;4b;4c;4d;4e;4f;4g;4h;4i;4j;4k;4l;4m;4n;4o;4p;4q;4r;4s;4t;4u;4v;4w;4x;4y;4z;6';6</t>
  </si>
  <si>
    <t>jo5c01584</t>
  </si>
  <si>
    <t>1y;3a;3b;3c;3d;3e;3f;3g;3h;3i;3j;3k;3l;3m;3n;3o;3p;3q;3r;3s;3t;4a;4b;5a;5b;5c;5d;5e;5f;5g;5h;5i;5j;5k;5l;5m;5n</t>
  </si>
  <si>
    <t>jo5c01688</t>
  </si>
  <si>
    <t>6c.xyz;6c_BS.xyz;6ca.xyz;6ca_BS.xyz;6cp.xyz;6cp_BS.xyz;6oa,a.xyz;6oa,p.xyz;6oa,p_S1min.xyz;6op,p.xyz;TS-6ca-6c.xyz;TS-6ca-6cp.xyz;TS-6oa,a-6ca.xyz;TS-6oa,a-6oa,p.xyz;TS-6oa,p-6cp.xyz;TS-6oa,p-6op,p.xyz</t>
  </si>
  <si>
    <t>jo5c01759</t>
  </si>
  <si>
    <t>3a;3b;3c;3d;3e;3f;3g;3h;3i;3j;3k;3l;5a';5a;5b';5b;5c';5c;5d;5e;5f;5g;5h;5i;5j;5k;5l;5m;5n;5o;5p;6;7;8</t>
  </si>
  <si>
    <t>jo5c01777</t>
  </si>
  <si>
    <t>3a;3b;3c;3d;3e;3f;3g;3h;3i;3j;3k;3l;3m;3n;3o;3p;3q;3r;3s;3t;3u;3v;3w;4a;5a</t>
  </si>
  <si>
    <t>jo5c01963</t>
  </si>
  <si>
    <t>1j;1x;1y;2ah;3a;3aa;3ab;3ac;3ad;3ae;3af;3ag;3ah;3b;3c;3d;3e;3f;3g;3h;3i;3j;3k;3l;3m;3n;3o;3p;3q;3r;3s;3t;3u;3v;3w;3x;3y;3z;4;5a;5b</t>
  </si>
  <si>
    <t>jo5c01989</t>
  </si>
  <si>
    <t>jo5c02047</t>
  </si>
  <si>
    <t>3a;3b;3c;3d;3e;3f;3g;3h;3i;3j;3k;3l;3m;3n;3o;3p;3q;3r;3s;3t;3u;3ba;3ca;3da;3ea;3fa;3ga;3ha;3ia;3ja;3ka;3la;3ma;5</t>
  </si>
  <si>
    <t>jo5c02084</t>
  </si>
  <si>
    <t>jo5c02091</t>
  </si>
  <si>
    <t>3a;3aa;3ab;3ac;3ad;3ae;3af;3ag;3ah;3ai;3b;3c;3d;3e;3f;3g;3h;3j;3k;3l;3m;3n;3o;3p;3q;3r;3s;3t;3u;3v;3w;3x;3y;3z;5a;5b;5c;5d;5e;5f;5g;5h;5i;5j;5k;5l;6a;6b;7;9</t>
  </si>
  <si>
    <t>jo5c02110</t>
  </si>
  <si>
    <t>jo5c02152</t>
  </si>
  <si>
    <t>jo5c02154</t>
  </si>
  <si>
    <t>jo5c02221</t>
  </si>
  <si>
    <t>jo5c02305</t>
  </si>
  <si>
    <t>1a;1b;1c;1d;1e;1f;1g;1h;1i;1j;1k;3ba;3bb;3bc;3bd;3be;3bf;3bg;3bh;3bi;3bj;3bk;3bl;3bm;3bn;3bo;3bp;3bq;3br;3bs;3bt;3ca;3da;3ea;3eb;3fa;3ga;3ha;3ia;3ja;3ka;4;5;6;PF-4455242</t>
  </si>
  <si>
    <t>jo5c02308</t>
  </si>
  <si>
    <t>jo5c02383</t>
  </si>
  <si>
    <t>3a;3b;3c;3d;3e;3f;3g;3h;3i;3j;3k;3l;3m;3n;3o;4a;4g;4i;4f</t>
  </si>
  <si>
    <t>jo5c02414</t>
  </si>
  <si>
    <t>jo5c02438</t>
  </si>
  <si>
    <t>jo5c02500</t>
  </si>
  <si>
    <t>14a_13C;14a_1H;15a_13C;15a_1H;16a_13C;16a_1H;16b_13C;16b_1H;17a_13C;17a_1H;17b_13C;17b_1H;18a_13C;18a_1H;18b_13C;18b_1H;19a_13C;19a_1H;19b_13C;19b_1H;1a_13C;1a_1H;1b_13C;1b_1H;20a_13C;20a_1H;20b_13C;20b_1H;21a_13C;21a_1H;21b_13C;21b_1H;22a_13C;22a_1H;22b_13C;22b_1H;23a_13C;23a_1H;23b_13C;23b_1H;24a_13C;24a_1H;24b_13C;24b_1H;2a_13C;2a_1H;2b_13C;2b_1H;4a_13C;4a_1H;4b_13C;4b_1H</t>
  </si>
  <si>
    <t>jo5c02653</t>
  </si>
  <si>
    <t>3aa;3ab;3ac;3ad;3ae;3af;3ag;3ah;3ai;3aj;3ak;3al;3am;3an;3ao;3ap;3aq;3ar;3as;3ba;3ca;3da;3dt;3ea;3fa;3ga;3ha;3ia;3ja;3ka;3la;3ma;3na;3oa;3pa;3qa;3qt;3ra;3sa</t>
  </si>
  <si>
    <t>jo5c02735</t>
  </si>
  <si>
    <t>R3=H,</t>
  </si>
  <si>
    <t>jo5c02870</t>
  </si>
  <si>
    <t>(Ra,R)-2t;(Sa,R)-2t;1a;1b;1c;1d;1e;1f;1g;1h;1i;1j;1k;1l;1m;1n;1o;1p;1q;1r;1s;1t;1u;2a;2b;2c;2d;2e;2f;2g;2h;2i;2j;2k;2l;2m;2n;2o;2p;2q;2r;2s;2u;3a;3b;3c;3d-meta;3d-ortho;3d-para;3e-meta;3e-ortho;3e-para;3f-meta;3f-ortho;3f-para;3g-meta;3g-ortho;3g-para;3h;3i;3j;3k;3l;3m;4a;4b;4c;4d-meta;4d-para;4e-meta;4e-para;4f-meta;4f-para;4g-meta;4g-para;4h;4i;4j;4l;7r;7s;7t;7u;8p;8r;8s;8t;8u</t>
  </si>
  <si>
    <t>ol4c03845</t>
  </si>
  <si>
    <t>ol4c04173</t>
  </si>
  <si>
    <t>3a;3aa;3ab;3ac;3ad;3ae;3b;3c;3d;3e;3f;3g;3h;3i;3j;3k;3l;3m;3n;3o;3p;3q;3r;3s;3t;3u;3v;3w;3x;3y;3z;5a;5b;5c;5d;5e;5f;5g;5h;5i;5j;5k;5l;6;7</t>
  </si>
  <si>
    <t>ol4c04259</t>
  </si>
  <si>
    <t>3aa;3aaa;3ba;3bba;3ca;3cb;3cc;3cca;3cd;3ce;3cf;3cg;3ch;3ci;3da;3ea;3fa;3ga;3ha;3ia;3ja;3ka;3la;3ma;3na;3oa;3pa;3qa;3ra;3ta;3ua;3va;3wa;3ya;3za</t>
  </si>
  <si>
    <t>ol4c04348</t>
  </si>
  <si>
    <t>3a;3aa;3ab;3ac;3ad;3ae;3af;3ag;3b;3c;3d;3e;3f;3g;3h;3i;3j;3k;3l;3m;3n;3o;3p;3q;3r;3s;3t;3u;3v;3w;3x;3y;3z;5a;5b;5c;5d;5e;5f;5g;5h;5i;5k;5l;5m;5n;5o;5p;5q;5r;5s;5t;5u;5v;5w;5x;5y;7;8</t>
  </si>
  <si>
    <t>ol4c04509</t>
  </si>
  <si>
    <t>3a;3b;3c;3d;3e;3f;3g;3h;3i;3j;3k;3l;3m;3n;3o;3p;3q;4a;4b;4c;4d;4e;4f;4g;4h;4i;4j;4k;4l;4m;4n;4o;4p;4q;5a;5b;5c;5d;6;7;8</t>
  </si>
  <si>
    <t>ol4c04625</t>
  </si>
  <si>
    <t>3a-5.mnova;3a-6.mnova;3a.mnova;3aa.mnova;3b.mnova;3ba.mnova;3c.mnova;3ca.mnova;3d.mnova;3da.mnova;3e.mnova;3f.mnova;3g.mnova;3h.mnova;3i.mnova;3j.mnova;3k.mnova;3l.mnova;3m.mnova;3n.mnova;3o.mnova;3p.mnova;3q.mnova;3r.mnova;3s.mnova;3t.mnova;3u.mnova;3v.mnova;3w.mnova;3x.mnova;3y.mnova;3z.mnova;4a.mnova;4b.mnova;4c.mnova;4d.mnova;4e.mnova;4f.mnova;5a.mnova;6a.mnova;7a.mnova</t>
  </si>
  <si>
    <t>ol4c04737</t>
  </si>
  <si>
    <t>3aa;3ba;3ca;3da;3ea;3fa;3ga;3ha;3ia;3ja;3ka;3kb;3kc;3kd;3ke;3kf;3kg;3kh;3ki;3kj;3kk;3kl;3km;3ks;3la;3ma;3oa;3pa;(2R,4S)-3kr;(2S,4R)-3kr;2i;2r;2s;4aa;4ba;4qa;5kc;5ki;5na;6+6â€™;6;7;S1d;S1g;S1l;S1n</t>
  </si>
  <si>
    <t>ol4c04779</t>
  </si>
  <si>
    <t>3a;3b;3c;3d;3e;3f;3g;3h;3i;3j;3k;3l;3m;3n;3o;3p;3q;3aa;3ab;4b;4c;4d;4e;4f;4g;4h;4i;4j;6a;6b;deutrio-1c;deutrio-3c</t>
  </si>
  <si>
    <t>ol4c04827</t>
  </si>
  <si>
    <t>ol4c04834</t>
  </si>
  <si>
    <t>3a;3aa;3ab;3b;3c;3d;3e;3f;3g;3h;3i;3j;3k;3l;3m;3n;3o;3p;3pp;3q;3r;3s;3t;3u;3v;3w;3x;3y;3z;4a;4b;4c;4d;4e;4f;4g;4h</t>
  </si>
  <si>
    <t>ol5c00129</t>
  </si>
  <si>
    <t>3a.mnova;3aa.mnova;3ab.mnova;3b.mnova;3c.mnova;3d.mnova;3e.mnova;3f.mnova;3g.mnova;3h.mnova;3i.mnova;3j.mnova;3k.mnova;3l.mnova;3m.mnova;3n.mnova;3o.mnova;3p.mnova;3q.mnova;3r.mnova;3s.mnova;3t.mnova;3u.mnova;3v.mnova;3w.mnova;3x.mnova;3y.mnova;3z.mnova;5.mnova;7.mnova;9.mnova;F.mnova</t>
  </si>
  <si>
    <t>ol5c00146</t>
  </si>
  <si>
    <t>1aa.mnova;1ab.mnova;1ac.mnova;1ad.mnova;1ae.mnova;1af.mnova;1ag.mnova;1ai.mnova;1c.mnova;1d.mnova;1e.mnova;1f.mnova;1g.mnova;1h.mnova;1n.mnova;1p.mnova;1r.mnova;1s.mnova;1t.mnova;1u.mnova;1v.mnova;1w.mnova;1x.mnova;1y.mnova;1z.mnova;4a.mnova;4aa.mnova;4ab.mnova;4ac.mnova;4ad.mnova;4ae.mnova;4af.mnova;4ag.mnova;4ah.mnova;4ai.mnova;4aj.mnova;4b.mnova;4c.mnova;4d.mnova;4e.mnova;4f.mnova;4g.mnova;4h.mnova;4i.mnova;4j.mnova;4k.mnova;4l.mnova;4m.mnova;4n.mnova;4o.mnova;4p.mnova;4q.mnova;4r.mnova;4s.mnova;4t.mnova;4u.mnova;4v.mnova;4w.mnova;4x.mnova;4y.mnova;4z.mnova;5.mnova</t>
  </si>
  <si>
    <t>ol5c00325</t>
  </si>
  <si>
    <t>10_Carbon.jdf;10_Proton.jdf;12_Carbon.jdf;12_Proton.jdf;13_Carbon.jdf;13_Fluorine.jdf;13_Proton.jdf;15_Carbon.jdf;15_Fluorine.jdf;15_Proton.jdf;17.Proton.jdf;17_Carbon.jdf;17_Fluorine.jdf;5a_Carbon.jdf;5a_Fluorine.jdf;5a_Proton.jdf;5b_Carbon.jdf;5b_Fluorine.jdf;5b_Proton.jdf;7_Carbon.jdf;7_Proton.jdf;9_Carbon.jdf;9_Proton.jdf</t>
  </si>
  <si>
    <t>ol5c00519</t>
  </si>
  <si>
    <t>1a;1b;1c;1d;1e;1f;1g;1h;1i;1j;1k;2r;2s;2t;3a;3b;3c;3d;3e;3f;3g;3h;3i;3j;3k;3l;4a;4b;4c;4d;4e;4f;4g;4h;4i;4j;4k;4l;4m;4n;4o;4p;4q;4r;4s;4t;4u;4v;4w;5;6;7</t>
  </si>
  <si>
    <t>ol5c00576</t>
  </si>
  <si>
    <t>3J.mnova;3a.mnova;3b.mnova;3c.mnova;3d.mnova;3e.mnova;3f.mnova;3g.mnova;3h.mnova;3i.mnova;3k.mnova;3l.mnova;3m.mnova;3n.mnova;3o.mnova;3p.mnova;3q.mnova;3r.mnova;3s.mnova;3t.mnova;3u.mnova;3v.mnova;3w.mnova;5a.mnova;5b.mnova;5c.mnova;5d.mnova;5e.mnova;5f.mnova;5g.mnova;5h.mnova;5i.mnova;5j.mnova;5k.mnova;5l.mnova;5m.mnova;5n.mnova;5o.mnova;6.mnova;7.mnova</t>
  </si>
  <si>
    <t>ol5c00600</t>
  </si>
  <si>
    <t>ol5c00623</t>
  </si>
  <si>
    <t>1a-C;1a-H;1b-C;1b-H;1c-C;1c-H;2aa-C;2aa-H;2ab-C;2ab-H;2ac-C;2ac-H;2ay-C;2ay-H;3ab-C;3ae-C;3ae-H;3af-C;3af-H;3ag-C;3aj-F;3ak-H;3ao-C;3ap-H;3b-C;3b-H;3c-C;3d-C;3d-H;3f-C;3f-H;3g-C;3g-H;3h-C;3h-H;3j-C;3m-C;3m-H;3o-C;3q-C;3r-C;3s-C;3t-C;3u-C;3v-C;3w-C;3x-C;3x-H</t>
  </si>
  <si>
    <t>ol5c00666</t>
  </si>
  <si>
    <t>ol5c00705</t>
  </si>
  <si>
    <t>ol5c00711</t>
  </si>
  <si>
    <t>ol5c00782</t>
  </si>
  <si>
    <t>ol5c00806</t>
  </si>
  <si>
    <t>1-13C;1-1H;10-13C;10-1H;11-13C;11-1H;12-13C;12-1H;13-13C;13-1H;14-13C;14-1H;15-13C;15-1H;16-13C;16-1H;17-13C;17-1H;18-13C;18-1H;19-13C;19-1H;2-13C;2-1H;20-13C;20-1H;21-13C;21-1H;3-13C;3-1H;4-13C;4-1H;5-13C;5-1H;6-13C;6-1H;7-13C;7-1H;8-13C;8-1H;9-13C;9-1H</t>
  </si>
  <si>
    <t>ol5c00879</t>
  </si>
  <si>
    <t>ol5c00933</t>
  </si>
  <si>
    <t>3'qa;3aa;3ab;3ac;3ad;3af;3ag;3ah;3ai;3ba;3ca;3da;3ea;3fa;3ga;3ha;3ia;3ja;3ka;3la;3ma;3na;3oa;3pa;3qa;3ra;3sa;3ta;4aa;5aa</t>
  </si>
  <si>
    <t>ol5c00948</t>
  </si>
  <si>
    <t>6pb';D3T-ketone;3a'a;3aa;3au;3b'a;3ba;3c'a;3ca;3d'a;3da;3e'a;3ea;3en;3fa;3ga;3ha;3ia;3ja;3ka;3la;3ma;3na;3oa;3pa';3pa;3pb;3pc;3pd;3pe;3pf;3pg;3ph;3pi;3pj;3pk;3pl;3pm;3pn;3po;3pp;3pq;3pr;3ps;3pt;3pu;3pv;3pw;3px;3py;3pz;3qa;3ra;3sa;3ta;3ua;3va;3wa;3xa;3ya;3za;isothiazole;nitroalkane</t>
  </si>
  <si>
    <t>ol5c00976</t>
  </si>
  <si>
    <t>11a;12a;13a;14a;15a;15b;15d;16a;16b;16c;17a;17b;18a;19a;1a;20a;20b;21a;22a;2a;3a;4a;5a;6a;7a;8a;9a</t>
  </si>
  <si>
    <t>ol5c00995</t>
  </si>
  <si>
    <t>10;1e;1l;1o;4a;4b;4c;4d;4e;4f;4g;4h;4i;4j;4k;4l;4m';4m;4n;4o;4p;4q;4t';4t;6a';6a;6b;6c;6d;6e;6f;6g;6h;6i;6j;6k;6l;9a;9b'';9b';9b;9c</t>
  </si>
  <si>
    <t>ol5c01081</t>
  </si>
  <si>
    <t>ol5c01172</t>
  </si>
  <si>
    <t>10;11a;11b;11c;11d;12a;12b;13;2;3;4;5;6;7;8;9;peropyrene</t>
  </si>
  <si>
    <t>ol5c01196</t>
  </si>
  <si>
    <t>dataset;VAE_20;VAE_40;VAE_60;VAE_80;aug20;aug20_gan20;aug20_gan40;aug20_gan60;aug20xgan20;aug20xgan40;aug20xgan60;aug30;aug50;aug50_gan20;aug50_gan40;aug50_gan60;aug50xgan20;aug50xgan40;aug50xgan60;aug74+VAE40;aug74+VAE60;aug74;aug74_gan20;aug74_gan40;aug74_gan60;aug74thenVAE40;aug74thenVAE60;aug74xgan20;aug74xgan40;aug74xgan60;gan20;gan40;gan60;gan80;original;scaffold_splitting;wo_sterimol;origin_fitting.zip__;sterimol.zip__</t>
  </si>
  <si>
    <t>ol5c01237</t>
  </si>
  <si>
    <t>ol5c01266</t>
  </si>
  <si>
    <t>README.txt;MEP_2i_trj.xyz;MEP_2k_trj.xyz;TS-2i-min.xyz;TS-4i-min.xyz;enedione-min.xyz;hydroquinone-min.xyz;protonated-enedione-min.xyz;protonated-hydroquinone-min.xyz;protonated-quinol-min.xyz;quinol-min.xyz;MEP_4i_trj.xyz;MEP_4k_trj.xyz;TS-2k-min.xyz;TS-4k-min.xyz;table1-1a;table1-1b</t>
  </si>
  <si>
    <t>ol5c01472</t>
  </si>
  <si>
    <t>2a;2aa;2ab;2ac;2ad;2ae;2af;2ag;2ah;2ai;2aj;2ak;2b;2c;2d;2e;2f;2g;2h;2i;2j;2k;2l;2m;2n;2o;2p;2q;2r;2s;2t;2u;2v;2w;2x;2y;2z;3ac;3ad;3j;3k;3n;3o;3p;3w;3y;3z</t>
  </si>
  <si>
    <t>ol5c01509</t>
  </si>
  <si>
    <t>13;16;21;22;23;24;25;26;27;30;31;32;33;34;35;36;38;39;9</t>
  </si>
  <si>
    <t>ol5c01576</t>
  </si>
  <si>
    <t>10;10a;11;1a;1b;1c;1d;1e;1f;1g;1h;1i;1j;1k;1l;1m;1n;1o;1p;1q;1s;3a';3a;3b;3c;3d;3e;3f;3g;3h;3i;3j;3k;3ka;3l;3m;3n;3o;3p;3q;3r;3s;3t;3u;3v;3w;3x;3y;3z;4b;4c;4d;4e;4f;4g;4h;4i;4j;4k;4l;4m;4n;4o;4p;4q;4r;4s;5;6;7;8;9</t>
  </si>
  <si>
    <t>ol5c01666</t>
  </si>
  <si>
    <t>2Ni0.gif;3Ni-1.gif;3Ni-2.gif;3Ni-3.gif;3Ni-4.gif;3Ni-5.gif</t>
  </si>
  <si>
    <t>ol5c01713</t>
  </si>
  <si>
    <t>1-13C;1-1H;10-13C;10-19F;10-1H;11-13C;11-1H;12-13C;12-1H;13-13C;13-1H;14-13C;14-1H;15-13C;15-1H;16-13C;16-1H;17-13C;17-1H;18-13C;18-1H;19-13C;19-1H;2-13C;2-1H;20-13C;20-1H;21-13C;21-1H;22-1H;22-C-13C;3-13C;3-1H;4-13C;4-1H;5-13C;5-1H;6-13C;6-1H;7-13C;7-1H;8-13C;8-1H;9-13C;9-1H</t>
  </si>
  <si>
    <t>ol5c01721</t>
  </si>
  <si>
    <t>Crude</t>
  </si>
  <si>
    <t>ol5c01805</t>
  </si>
  <si>
    <t>ol5c01936</t>
  </si>
  <si>
    <t>2a;2b;2c;2d;5a;5b;5c;5d;5e;5f;5g;5h;5i;5j;5k;6a;6b;6c;6d;6e;6f;6g;6h;6i;6j;6k;7</t>
  </si>
  <si>
    <t>ol5c01966</t>
  </si>
  <si>
    <t>ol5c02004</t>
  </si>
  <si>
    <t>4aa';4aa;4ab';4ab;4ac';4ac;4ad;4ae;4af;4ag;4ah;4ai;4aj;4ak;4al;4am;4an;4ao;4ap;4aq;4ar;4at;4au;4av;4aw;4ax;4ay;4az;4ba;4ca;4da;4ea;4fa;4ga;4ha;4ia+4ia';4ja+4ja';4ka';4ka;5;6;7;8;9</t>
  </si>
  <si>
    <t>ol5c02079</t>
  </si>
  <si>
    <t>2a;2aa;2ab;2ac;2b;2c;2d;2e;2f;2g;2h;2i+2i';2i';2i;2j;2k;2l;2m;2n;2o;2p;2q;2r;2s;2t;2u;2v;2w;2x;2y;2z;3</t>
  </si>
  <si>
    <t>ol5c02150</t>
  </si>
  <si>
    <t>5a-13C;5a-19F;5a-1H;5b-13C;5b-19F;5b-1H;5c-13C;5c-19F;5c-1H;7a-13C;7a-19F;7a-1H;7b-13C;7b-19F;7b-1H;7c-13C;7c-19F;7c-1H</t>
  </si>
  <si>
    <t>ol5c02270</t>
  </si>
  <si>
    <t>Mapping_predicted_Zn_ion.ipynb;Model1_mixing_ratio_predictions.ipynb;Model2_zinc_ion_contents_prediction.ipynb;utils.py</t>
  </si>
  <si>
    <t>ol5c02286</t>
  </si>
  <si>
    <t>zds-20-66-3-C;3ba-zds-20-67-3;3ca-zds-20-72-3;3da-zds-20-68-3;3ea-zds-21-27-3;3fa-zds-21-28-3;3ga-zds-20-69-3;3ha-zds-21-29-3;3ia-zds-21-30-3;3ja-zds-20-70-3;3ka-zds-20-71-3;3la-zds-20-80-3;3ma-zds-20-75-3;3na-zds-20-76-3;3oa-zds-20-74-3;3pa-ZDS-20-82-3;3qa-ZDS-20-89-3;3ra-zds-20-77-3;4-zds-21-10-3;5-zds-21-9-2;6-zds-21-12-2</t>
  </si>
  <si>
    <t>ol5c02366</t>
  </si>
  <si>
    <t>3aa;3ab;3ac;3ad;3ae;3af;3ba;3bb;3bc;3bd;3be;3bf;3bg;3bh;3ca;3cb;3cc;3cd;3ce;3cf;3cg;3ch;3da;3db;3dc;3dd;6;7;9</t>
  </si>
  <si>
    <t>ol5c02373</t>
  </si>
  <si>
    <t>2c;2f;2i;2j;3aa;3ab;3ac;3ad;3ae;3af;3ag;3aj;3al;3am;3an;3ao;3ba;3ca;3da;3ea;3fa;3ga;3ha;3ia;3ja;3ka;3la;3ma;3na;5;6;7;8;L1;L2;L3;L4;L6</t>
  </si>
  <si>
    <t>ol5c02418</t>
  </si>
  <si>
    <t>ol5c02448</t>
  </si>
  <si>
    <t>1a';1a;1b;1c;1d;1e;1f;1g;1h;1i;1j;1k;1l;1m;2aa;2ab;2ad;2ae;2af;2ag;2ah;2ai;2aj;2ak;2al;2b;2c;2d;2e;2f;2h;2i;2j;2k;2l;2m;2n;2o;2p;2q;2r;2s;2t;2u;2v;2w;2x;2y;2z;3a;3b;3c;3d;3e;3f;3g;3h;3i;3j;3k;3l;3m;4a;4aa;4ab;4ac;4ad;4ae;4b;4c;4d;4e;4f;4g;4h;4i;4j;4k;4l;4m;4n;4o;4p;4q;4r;4s;4t;4u;4v;4w;4x;4y;4z;5a;5b;5c';5c;5d;5e;6a;7a</t>
  </si>
  <si>
    <t>ol5c02494</t>
  </si>
  <si>
    <t>1a;1b;1c;1d;1e;1f;1g;1h;1i;3a;3b;3c;3d;3e;3f;3g;3h;3i;3j;3k;3l;3m;3n;3o;3p;3q;3r;3s;3t;3u;3v;3w;3x;3y;3z;3za;3zb;3zc;3zd;3ze;3zf;3zg;3zh';3zh;3zi';3zi;4a;4b;4c;4d;4e;4f;4g;4h;4i;6</t>
  </si>
  <si>
    <t>ol5c02495</t>
  </si>
  <si>
    <t>ol5c02499</t>
  </si>
  <si>
    <t>benzoyl-radical.xyz;cyclobutyl-alkene.xyz;cyclobutyl-product-radical.xyz;cyclobutyl-ts.xyz;dimethyl-alkene.xyz;dimethyl-product-radical.xyz;dimethyl-ts.xyz</t>
  </si>
  <si>
    <t>ol5c02536</t>
  </si>
  <si>
    <t>ol5c02559</t>
  </si>
  <si>
    <t>ol5c02563</t>
  </si>
  <si>
    <t>ol5c02636</t>
  </si>
  <si>
    <t>HRMS;3aa;3ab;3ac;3ad;3ae;3af;3ag;3ah;3ai;3aj;3ak;3al;3am;3an;3ao;3ap;3ba;3ca;3da;3ea;3fa;3ga;3ha;3ia;3ja;3ka;3ku;3la;3ma;4;5;6</t>
  </si>
  <si>
    <t>ol5c02670</t>
  </si>
  <si>
    <t>1a;1b;1c;1d;1e;1f;1g;1h;1i;1j;1k;1l;1m;1n;1o;1p;1q;1r;1s;1t;1u;1v;1w;1x;1y;2b;2c;2d;2e;2f;3a-[H];3a;3b;3c;3d;3e;3f;3g;3h;3i;3j;3k;3l;3m;3n;3o;3p;3q;3r;3s;3t;3u;3v;3w;3x;3y;3z;3za;3zb;3zc;3zd;4a;4b;5a;5b;5c</t>
  </si>
  <si>
    <t>ol5c02689</t>
  </si>
  <si>
    <t>compound1b_13C;compound1b_1H;compound2b_13C;compound2b_1H;13C.rm1;ãƒ”ãƒ¼ã‚¯ãƒªã‚¹ãƒˆ.txt;compound42+_1H;spectrometer.txt</t>
  </si>
  <si>
    <t>ol5c02724</t>
  </si>
  <si>
    <t>3a;3b;3c;3d;3e;3f;3g;3h;3i;3j;3k;3l;3m;3n;3o;3p;3q;3r;3s;3t;4a;4b;4c;4d;4e;4f;4g;4h;4i;4j;4k;4l;4m;4n;4o;4p;4q;4r;4s;4t;4u;4v;4w;4x;4y;4z;4za;5;Rh-1a</t>
  </si>
  <si>
    <t>ol5c02783</t>
  </si>
  <si>
    <t>ol5c02876</t>
  </si>
  <si>
    <t>2a;2b;2c;2d;2e;2f;2g;2h;2i;2j;2k;2l;2m;2n;5a;5b;5c';5c;5d;5e;5f;5g';5g;5h;5i;5j;5k;5l;5m;5n;5o;5p;5q;5r;5s;5t;6f;6q;7a;7b;7c;7d;7e;7f;7g;8a;8b;ent-5g;ent-5l;ent-5q;ent-6q;epi-7e;rac-6f;rac-6q</t>
  </si>
  <si>
    <t>ol5c02878</t>
  </si>
  <si>
    <t>3a;3aa;3aaa;3aab;3aac;3aad;3aae;3aaf;3aag;3aah;3ab;3ac;3ad;3ae;3af;3ag;3ah;3ai;3aj;3ak;3al;3am;3an;3ao;3ap;3aq;3ar;3as;3at;3au;3aw;3ax;3ay;3az;3b;3c;3d;3e;3f;3g;3h;3i;3j;3k;3l;3m;3n;3o;3p;3q;3r;3s;3t;3u;3v;3w;3x;3y;3z;4;5</t>
  </si>
  <si>
    <t>ol5c03138</t>
  </si>
  <si>
    <t>ol5c03157</t>
  </si>
  <si>
    <t>3a;4a;4b;4c;4d;4e;4f;4g;4h;4i;4j;4k;4l;4m;4n;4o;4p;4q;4r;4s;5a;5b;5c;5d;5e;5f;6</t>
  </si>
  <si>
    <t>ol5c03186</t>
  </si>
  <si>
    <t>ol5c03195</t>
  </si>
  <si>
    <t>ol5c03229</t>
  </si>
  <si>
    <t>ol5c03241</t>
  </si>
  <si>
    <t>ol5c03615</t>
  </si>
  <si>
    <t>ol5c03626</t>
  </si>
  <si>
    <t>ol5c03636</t>
  </si>
  <si>
    <t>ol5c03906</t>
  </si>
  <si>
    <t>10aB;10aF;10aL;10aP;10iB;10iF;10iL;10iP;11aB;11aF;11aL;11aP;3a;3ab;3ac;3ad;3ae;3af;3ag;3ah;3ai;3aj;3b;3be;3bi;3bj;3c;3cj;3d;3e;3f;3g;3h;3i;3j;3k;3l;3m;3n;3o;6a;6ab;6ac;6ad;6ae;6af;6b;6be;6c;6d;6e;6f;6g;6h;6i;6j;6k;6l;6m;6n;6o;7a;7ag;7ah;7ai;7aj;7bi;7bj;7cj;7i;7j;7n;8a;8i;9a</t>
  </si>
  <si>
    <t>ol5c04004</t>
  </si>
  <si>
    <t>3a;3b;3c;3d;3e;3f;3g;3h;3i;3j;3k;3l;3m;3n;3o;3p;3q;3r;3s;3t;4a;4b;4c;4d;4e;5;7;8</t>
  </si>
  <si>
    <t>ol5c04277</t>
  </si>
  <si>
    <t>FID-1;3a;3b;3c;3d;3e;3f;3g;3h;3i;3j;3k;3l;3m;3n;3o;3p;3q;3r;4b;4c;4d;4e;4f;4g;4h;4i;4j;4k;4l;4m;4n;4o;4p;4q;4r;4s;5a;5b;5c;5d;5e;5f;5g;5h;5i;5j;5k;5l;5m;5n;5o;5p;5q;5r;6b;6c;6d;6e;6f;6g;6h;6i;6j;6k;6l;6m;6o;6p</t>
  </si>
  <si>
    <t>ol5c04403</t>
  </si>
  <si>
    <t>2v;2w;2x;2y;2z;3a;3aa;3ab;3ac;3ad;3ae;3af;3ag;3ah;3ai;3aj;3ak;3al;3am;3an;3ao;3ap;3aq;3ar;3b;3c;3d;3e;3f;3g;3h;3i;3j;3k;3l;3m;3o;3p;3r;3s;3t;3u;3v;3w;3x;3y;3z</t>
  </si>
  <si>
    <t>ol5c04507</t>
  </si>
  <si>
    <t>10;11;12;13;14;15;16;17;18;19;20;21;22;23;24;25;26;27;28;29;30;31;32;33;4;9;S1;S2;S3;S4;S5;S6;S7</t>
  </si>
  <si>
    <t>ol5c04750</t>
  </si>
  <si>
    <t>App;2;4;6;1a;1b;1c;1d;1e;1f;1g;1h;1i;1j;3a;3b;3c;3d;3e;3f;5a;5b;5c;5d;5e;5f;5g</t>
  </si>
  <si>
    <t>ol5c04969</t>
  </si>
  <si>
    <t>10;3aa;3ab;3ac;3ba;3bb;3bc;3bd;3be;3bf;3bg;3bh;3ca;3cb;3cc;3cd;3da;3db;3dc;3dd;3ea;3eb;3ec;3ed;3fa;3fb;3fe;5a;5b;5c;5d;5e;5f;5g;5h;5i;5j;5k;5l;5m;5n;5o;7a;7b;8;9</t>
  </si>
  <si>
    <t>10_(DSN-799 13C )  spot-I;10_(DSN-799 1H ) spot-1;11_(DSN-799 13C ) Spot-II;11_(DSN-799 1H ) Spot-II;3aa_(DSN-625 13 C );3aa_(DSN-625 1H );3ab_(DSN-613 13C );3ab_(DSN-613 1H );3ac_(DSN-619 13C );3ac_(DSN-619 1H );3ad_(DSN-634 13C );3ad_(DSN-634 1H );3ae_(DSN-690 13C);3ae_(DSN-690 1H );3af_(DSN-808 13C);3af_(DSN-808 1H );3ag_(DSN-633 13C );3ag_(DSN-633 1H );3ah_(DSN-692 13C );3ah_(DSN-692 1H );3ai_(DSN-691 13C );3ai_(DSN-691 1H );3aj_(DSN-812 13C );3aj_(DSN-812 1H );3ak_(DSN-603 13C );3ak_(DSN-603 19F );3ak_(DSN-603 1H NMR);3al_(DSN-617 13C );3al_(DSN-617 19F );3al_(DSN-617 1H</t>
  </si>
  <si>
    <t>);</t>
  </si>
  <si>
    <t>compound 1;Part 1 of compound 2;Part 2 of compound 2;Part 3 of compound 2;Part 1 of compound 3;Part 2 of compound 3;Part 1 of compound 4;Part 2 of compound 4</t>
  </si>
  <si>
    <t>3aa;3ab;3ac;3ad;3ae;3af;3ag;3ah;3ai;3aj;3ak;3al;3am;3an;3ao;3ba;3bb;3ca;3cb;3da;3db;3ea;3eb;3fa;3fb;3ga;3ha;3ia;3ja;3ja_Scale up;3jp;3ka;3la;3ma;3mr;3na;3oq;2. Without Catalyst_substrate;3. Mechanism fig S2, S3, S4;4. Cat AB4 NMRs</t>
  </si>
  <si>
    <t>Compound 2;Compound 3;Compound 4;Compound 5;Compound 6;Compound 7;Compound 8</t>
  </si>
  <si>
    <t>10 13C.mnova;10 1H.mnova;11 13C.mnova;11 1H.mnova;13 13C.mnova;13 1H.mnova;3a 13C.mnova;3a 1H.mnova;3aa 13C.mnova;3aa 1H.mnova;3ab 13C.mnova;3ab 1H.mnova;3ac 13C.mnova;3ac 1H.mnova;3b 13C.mnova;3b 1H.mnova;3c 13C.mnova;3c 1H.mnova;3d 13C.mnova;3d 1H.mnova;3e 13C.mnova;3e 1H.mnova;3f 13C.mnova;3f 1H.mnova;3g 13C.mnova;3g 19F.mnova;3g 1H.mnova;3h 13C.mnova;3h 1H.mnova;3i 13C.mnova;3i 1H.mnova;3j 13C.mnova;3j 19F.mnova;3j 1H.mnova;3k 13C.mnova;3k 19F.mnova;3k 1H.mnova;3l 13C.mnova;3l 1H.mnova;3m 13C.mnova;3m 1H.mnova;3n 13C.mnova;3n 1H.mnova;3o 13C.mnova;3o 1H.mnova;3p 13C.mnova</t>
  </si>
  <si>
    <t>Compound 1.csv;Compound 10.csv;Compound 11.csv;Compound 12.csv;Compound 13.csv;Compound 14.csv;Compound 2.csv;Compound 3.csv;Compound 4.csv;Compound 5.csv;Compound 6.csv;Compound 7.csv;Compound 8.csv;Compound 9.csv;1;10;11;12;13;14;2;3;4;5;6;7;8;9</t>
  </si>
  <si>
    <t>3aa-13C;3aa-1H;3aaa-13C;3aaa-19F.fid;3aaa-1H;3ab-13C.fid;3ab-1H.fid;3aba-13C.fid;3aba-19F.fid;3aba-1H.fid;3ac-13C.fid;3ac-1H.fid;3ad-13C.fid;3ad-1H.fid;3ada-13C.fid;3ada-1H.fid;3ae-13C.fid;3ae-1H.fid;3aea-13C.fid;3aea-1H.fid;3af-13C.fid;3af-1H.fid;3ag-13C.fid;3ag-19F.fid;3ag-1H.fid;3ah-13C.fid;3ah-1H.fid;3ai-13C.fid;3ai-1H.fid;3aj-13C.fid;3aj-1H.fid;3ak-13C.fid;3ak-1H.fid;3ba-13C.fid;3ba-1H.fid;3ca-13C.fid;3ca-1H.fid;3da-13C.fid;3da-1H.fid;3ea-13C.fid;3ea-1H.fid;3fa-13C.fid;3fa-1H.fid;3ga-13C.fid;3ga-1H.fid;3ha-13C.fid;3ha-1H.fid;3ia-13C.fid;3ia-1H.fid;3ja-13C.fid;3ja-19F.fid</t>
  </si>
  <si>
    <t>.fi</t>
  </si>
  <si>
    <t>fid;3</t>
  </si>
  <si>
    <t>1-methoxyadamantane;Compound 10;Compound 11;Compound 14;Compound 15;Compound 16;Compound 17;Compound 18;Compound 19;Compound 20;Compound 21;Compound 22;Compound 23;Compound 24;Compound 26;Compound 27;Compound 28;Compound 30;Compound 31;Compound 32;Compound 34;Compound 36;Compound 6;Compound 8, 9, 10, 11, 12, 13;Compound 9</t>
  </si>
  <si>
    <t>1Br,H;1Cl,H;1F,Cl;1F,F;1F,H;1F,NO2;1F,OMe;FID for Publication;1I,H;1Me,H;2Br,H;2Cl,H;2F,CF3;2F,Cl;2F,F;2F,H;2F,OMe;2H,Br;2H,Cl;2H,F;2H,Me;2Me,H;S1Br,H;S1Cl,H;S1F,H;S1F,NO2;S1F,OMe;241211_SupplementalTables.xlsx;Conformer Coordinates for DFT;DFT_Electronic_Energies_of_Conformers.png;Diastereomer-RR.avi;2FBCA-adduct.data;2FBCA-adduct.params;onetraj.10000.dump;onetraj.100000.dump;onetraj.1000000.dump;onetraj.105000.dump;onetraj.110000.dump;onetraj.115000.dump;onetraj.120000.dump;onetraj.125000.dump;onetraj.130000.dump;onetraj.135000.dump;onetraj.140000.dump;onetraj.145000.dump;o</t>
  </si>
  <si>
    <t>net</t>
  </si>
  <si>
    <t>raj</t>
  </si>
  <si>
    <t>fid for 1a C NMR;fid for 1a H NMR;fid for 1b C NMR;fid for 1b H NMR;fid for 1c C NMR;fid for 1c H NMR;fid for 1d C NMR;fid for 1d H NMR;fid for 1e C NMR;fid for 1e F NMR;fid for 1e H NMR;fid for 1f C NMR;fid for 1f H NMR;fid for 1g C NMR;fid for 1g H NMR;fid for 1h C NMR;fid for 1h H NMR;fid for 1i C NMR;fid for 1i H NMR;fid for 1j C NMR;fid for 1j F NMR;fid for 1j H NMR;fid for 1k C NMR;fid for 1k H NMR;fid for 1l C NMR;fid for 1l H NMR;fid for 1m C NMR;fid for 1m H NMR;fid for 1n C NMR;fid for 1n H NMR;fid for 1o C NMR;fid for 1o H NMR;fid for 1p C NMR;fid for 1p H NMR;fid</t>
  </si>
  <si>
    <t>NM</t>
  </si>
  <si>
    <t>id</t>
  </si>
  <si>
    <t>1n;1o;1p;1q;3a (2D NMR- COSY, HSQC and HMBC);3a;3b;3c;3d;3e;3f;3g;3h;3i;3j;3k;3l;3m;3n;3o;3p;3q;3r;3s;3t;3u;4a (2D NMR-COSY, HSQC and HMBC);4a;4b;4c;4d;4e;4f;4g;4h;4i;4j;4k;4l;4m;4n;4o;4p;4q;4r;4s;4t;5 (2D NMR - COSY and HSQC);5;i;ii;iii;iv</t>
  </si>
  <si>
    <t>3a;3b;3c;3d;3e;3f;3g;3h;3i;3j;3k;3l;3m;3n;4b;4c;4d;4e;4f;4g;4h;4i;4j;4k;4l;4m;5a;7a;Scheme 4;9a;9b;9c;1m;1n;2m;2n</t>
  </si>
  <si>
    <t>10-C.mnova;10-F.mnova;10-H.mnova;3a-C.mnova;3a-F.mnova;3a-H.mnova;3b-C.mnova;3b-F.mnova;3b-H.mnova;3c-C.mnova;3c-F.mnova;3c-H.mnova;3d-C.mnova;3d-F.mnova;3d-H.mnova;3e-C.mnova;3e-F.mnova;3e-H.mnova;3f-C.mnova;3f-F.mnova;3f-H.mnova;3g-C.mnova;3g-F.mnova;3g-H.mnova;3h-C.mnova;3h-F.mnova;3h-H.mnova;3i-C.mnova;3i-F.mnova;3i-H.mnova;3j-C.mnova;3j-F.mnova;3j-H.mnova;3k-C.mnova;3k-F.mnova;3k-H.mnova;3l-C.mnova;3l-F.mnova;3l-H.mnova;3m-C.mnova;3m-F.mnova;3m-H.mnova;3n-C.mnova;3n-F.mnova;3n-H.mnova;3o-C.mnova;3o-F.mnova;3o-h.mnova;3p-C.mnova;3p-F.mnova;3p-H.mnova;4-C.mnova;4-F.mnova;4</t>
  </si>
  <si>
    <t>;6</t>
  </si>
  <si>
    <t>13C 3a;13C 3b;13C 3c;13C 3d;13C 3e;13C 3f;13C 3g;13C 3h;13C 3i;13C 3j;13C 3k;13C 3l;13C 3m;13C 3n;13C 3o;13C 3p;13C 3q;13C 3r;13C 3s;13C 3t;13C 6aa;13C 6bc;13C 6ca;13C 6db;13C 6eb;13C 6fb;13C 6ga;13C 6ha;13C 6ic;13C 8a;13C 8e;1H-3a;1H-3b;1H-3c;1H-3d;1H-3e;1H-3f;1H-3g;1H-3h;1H-3i;1H-3j;1H-3k;1H-3l;1H-3m;1H-3n;1H-3o;1H-3p;1H-3q;1H-3r;1H-3s;1H-3t;1H-6aa;1H-6bc;1H-6ca;1H-6db;1H-6eb;1H-6fb;1H-6ga;1H-6ha;1H-6ic;1H-8a;1H-8e;New 1 Text Document.txt;New Text Document.txt</t>
  </si>
  <si>
    <t>TS1 IF.mp4;TS1 IRC.mp4;TS1' IF.mp4;TS1' IRC.mp4;TS2' IF.mp4;TS2' IRC.mp4;TS5b IF.mp4;TS5b IRC.mp4;TS7 IF.mp4;TS7 IRC.mp4</t>
  </si>
  <si>
    <t>(E)-24;(Z)-24;10;11;12;13;14;15;18;19;20;21;22;23;25;26;27;28;29;30;31;33;34;35;39;40;41;42;43;44 (major dia);44 (minor dia);5;6;7;8;9;S1;S2;S3;S4;S5;S6</t>
  </si>
  <si>
    <t>13C 3a;13C 3b;13C 3c;13C 3d;13C 3e;13C 3f;13C 3g;13C 3h;13C 3i;13C 3j;13C 3k;13C 3l;13C 3m;13C 3n;13C 3o;13C 3p;13C 3q;13C 3r;13C 3s;13C 3t;13C 3u;13C 3v;13C 3w;13C 3x;13C 4a;13C 4b;13C 4c;13C 4d;13C 4e;13C 4f;13C 4g;13C 4h;13C 4i;13C 4j;13C 4k;13C 4l;13C 4m;13C 4n;13C 4o;13C 4p;13C 4q;13C 4r;13C 4s;13C 4t;13C 4u;13C 4v;13C 5a;13C 5b;13C 5c;13C 5d;13C 5e;13C 5f;13C 5g;13C 5h;13C 5i;13C 5j;13C 5k;13C 5l;13C 5m;13C 5n;13C 5o;13C 5p;13C 5q;13C 5r;13C 5s;13C 6a;13C 6b;13C 6c;13C 6d;13C 6e;13C 6f;13C 6g;13C 6h;19F 3g;19F 3k;19F 4f;19F 4g;19F 4l;19F 4v;19F 5d;19F 5e;19F 5g;19F 5q;1</t>
  </si>
  <si>
    <t>;1H</t>
  </si>
  <si>
    <t>1m;1n;1p;2a';2a;2b;2c;2d;2e;2f;2g;2h;2i;2j;2k;2l;2m;2n;2o;2p;deuterated solvent experiment;light on and off</t>
  </si>
  <si>
    <t>3a;3b;3c;3d;3e;3f;3g;3h;3i;3j;3k;3l;3m;3n;3o;3p;3q;6a;6b;6d;6g;6l;6p;6q;Scheme 4a 1H NMR</t>
  </si>
  <si>
    <t>(+) and (-) Colchicine VCD Report.pdf;(+) and (-) DM-MTC VCD Report.pdf;(+) and (-) IsoDM-MTC VCD Report.pdf;(+) and (-) Isocolchicine VCD Report.pdf;Bejcecine;Dimer;Monomer;Isobejcecine;DFT Coordinates for VCD.docx;CompRotationalBarriers_xyz_files</t>
  </si>
  <si>
    <t>compound10;compound11a;compound12;compound13;compound14;compound16;compound17;compound18;compound19;compound20;compound23;compound24;compound29;compound30;11-C;11-H;compound11-COSY;compound11-HMBC;compound11-HSQC;compound11-NOE;compound 31 C;compound 31 COSY;compound 31 H;compound 31 HSQC;compound 31 NOE;compound 31HMBC</t>
  </si>
  <si>
    <t>Silole-AC.mnova;Silole-AC;Silole-PXZ.mnova;Silole-PXZ;Silole-Ph-AC.mnova;Silole-Ph-AC;Silole-Ph-PXZ.mnova;Silole-Ph-PXZ NMR</t>
  </si>
  <si>
    <t>2a_(SJ-1311(2)_13C)_51;2a_(SJ-1311(2)_1H)_4;2b_(BKK-BrCH2CN(2)_H)or SJ-1326(Me)__4;2b_(SJ-1326(Me)_13C)_111;2c_(SJ-1342(p-OMe)_13C)_596;2c_(SJ-1342(p-OMe)_1H)_4;2d_(SJ-1330_13C)_42;2d_(SJ-1330_19F)_1;2d_(SJ-1330_1H)_3;2e_(SJ-1327_13C)_32;2e_(SJ-1327_1H)_2;2f_(SJ-1359P_13C)_105 PURE;2f_(SJ-1359P_1H)_1 PURE;2g_(BKK-276_13C)_562;2g_(BKK-276_1H)_4;2h_(BKK-278_13C)_269;2h_(BKK-278_1H)_1;2i_(SJ-1343_13C)_402;2i_(SJ-1343_19F)_403;2i_(SJ-1343_1H)_3;2j_(BKK-275_13C)_100 CHCL3;2j_(BKK-275_1H)_1 CHCL3;2k_(BKK-274_13C)_150;2k_(BKK-274_19F)_7;2k_(BKK-274_1H)_2;2l_(BKK-244(FINAL)_13C)_100;</t>
  </si>
  <si>
    <t>1;4;5;6;8;9;Instrument information for collecting and analyzing data.txt;Ph-B;bis-TFB;bis-bis-SFB;bis-s-SFB;s-TFB;s-bis-SFB;s-s-SFB</t>
  </si>
  <si>
    <t>1a;1aa;1ab;1ac;1ad;1ae;1b;1c;1d;1e;1f;1g;1h;1i;1j;1k;1l;1m;1n;1o;1p;1q;1r;1s;1t;1u;1v;1w;1x;2a;2b;2c;2d;2e;3a;4a;4b;4c;4d;4e;4f;4g &amp; 4h;4i;4j;5a;5c;5d</t>
  </si>
  <si>
    <t>3 C;3 H;4 C;4 H;5 C;5 H;6 C;6 H;7 C;7 H</t>
  </si>
  <si>
    <t>NMR spectra of Br-Fu-Bpin monomer;NMR spectra of macrocycles;C6FE_0_b.xyz;C6FE_N1_b.xyz;C6FE_N2S_b.xyz;C6FE_N2T_b.xyz;C6FE_P1_b.xyz;C6FE_P2S_b.xyz;C6FE_P2T_b.xyz;C6FH_0_b.xyz;C6FM_0_b.xyz;C7FE_0_b.xyz;C7FE_N1_b.xyz;C7FE_N2S_b.xyz;C7FE_N2T_b.xyz;C7FE_P1_b.xyz;C7FE_P2S_b.xyz;C7FE_P2T_b.xyz;C7FH_0_b.xyz;C7FM_0_b.xyz;Furan-Dimer-Syn_0_b.xyz;Furan-Ester-Dimer-Syn_0_b.xyz;Furan-Ester_0_b.xyz;Furan-Methyl-Dimer-Syn_0_b.xyz;Furan-Methyl_0_b.xyz;L6FE_0_b.xyz;L6FH_0_b.xyz;L6FM_0_b.xyz;L7FE_0_b.xyz;L7FH_0_b.xyz;L7FM_0_b.xyz</t>
  </si>
  <si>
    <t>Compound 10;Compound 11;Compound 12;Compound 15;Compound 18;Compound 4</t>
  </si>
  <si>
    <t>Compound 1;Compound 10;Compound 4;Compound 5;Compound 7;Compound 8;Compound 9;Spectrometer Information.txt;comp1.mol;comp10.mol;comp4.mol;comp5.mol;comp7.mol;comp8.mol;comp9.mol</t>
  </si>
  <si>
    <t>1A-1M Carbenes Reaction Coordinate Diagrams;CF3 Photolysis.zip__;H-Bonded Complexes Between 1A-1M and 4-Cyanophenol;Para Substituted Phenols.zip__;Diazomethane Photolysis.zip__;MPDA+HFIP Photolysis.zip__;Supporting_Information_Raw_Data_3</t>
  </si>
  <si>
    <t>2 1H;3 13C;4c 13C;4c 1H;5a 13C;5a 1H;5g 13C;5g 1H;6a 1H;6b 13C;6b 1H;6g 13C;6g 1H;7a 13C;7a 1H;7b 13C;7b 1H;7d 13C;7d 1H;7k 13C;7k 1H</t>
  </si>
  <si>
    <t>CDFT data of 10Â·H+.txt;CDFT data of 1Â·H+.txt;CDFT data of 2Â·H+.txt;CDFT data of 3Â·H+.txt;CDFT data of 4Â·H+.txt;CDFT data of 5Â·H+.txt;CDFT data of 6Â·H+.txt;CDFT data of 7Â·H+.txt;CDFT data of 8Â·H+.txt;CDFT data of 9Â·H+.txt;CDFT results (Multiwfn).txt;N+1;N-1;N-2;N;Optimization of imineÂ·H+;Optimization of imineÂ·H+@CB7;FID for publication</t>
  </si>
  <si>
    <t>2n;2o;2p;2q;2r;3 a;3 b;3 c;3 d;3 e;3 f;3 g;3 h;3 i;3 j;3 k;3 l;3 m;3 n;3 o;3 p;3 q;3 r;3 s;3 t;3 u;3 v;3 w;3 x;3 y;3 z;3aa;3ab;5;7;8</t>
  </si>
  <si>
    <t>3e 3f 3g.mnova;Document 111.mnova;HRMS data for new compounds.doc</t>
  </si>
  <si>
    <t>12;13;1g;1i;3a;3b;3c;3d;3e;3f;3g;3h;3i;3j;3k;3l;3m;3n;3o;3p;3q;3r;3s;3t;3u;3v;3w;3x;4a;9;The information.docx</t>
  </si>
  <si>
    <t>1f;1h;1i;1j;1k;1l;1n;1o;1p;3aa;3ab;3ba;3bb;3ca;3da;3db;3ea;3eb;3fa;3ga;3ha;3hb;3ia;3ja;3ka;3la;3oa;3pa;4ac;4ad;4ae;4af;4ag;4ah;4ai;4aj;4ak;4al;4am;4an;4ao;4ap;4aq;6a;6b;6c;6d;deuterio 1a;deuterio 3aa</t>
  </si>
  <si>
    <t>CARBON_01.fid;PROTON_01.fid;gCOSY_01.fid;HRMS;Tabulated Data.xlsx;c = 0.016;c = 0.032;Compound 7</t>
  </si>
  <si>
    <t>1a. TE345-P;1b. TE-CZ73-P_CDCl3;1c. TE383-P_ACT;1d. TE427-P_ACT;1e. KCE40-P_CDCl3;1f. TE426-P_ACT;1g. TE524-P_CDCl3;1h. CZ69-P_DSMO;1i. TE411-P_CDCl3;1j. CZ49-P_CDCl3;1k. KCE41-P_CDCl3;1l. TE429-P_ACT;1m. TE475-P_CDCl3;1n. TE572-P_CDCl3;1o. TE554-P_CDCl3;3a. TE-P_ACT;3b. TE517-P_ACT;3c. TE387-P_CDCl3;3d. TE461-P_ACT;3e. TE502-P_ACT;3f. TE462-P_ACT;3g. TE525-P_ACT;3h. CZ75-P_ACT;3i. TE422-P_ACT;3j. TE516-P_ACT;3k. KCE45-P_ACT;3l. TE518-P_ACT;3m. TE480-P_ACT;3n. TE575-P_ACT;3o. TE558-P_ACT;4b. TE527-P_ACT;4c. TE529-P_ACE;4d. TE528-P_ACT;4e. TE531-P_ACT;4f. TE597-P_ACT;4g. TE533</t>
  </si>
  <si>
    <t>3'-C NMR;3'-H NMR;3-C NMR;3-H NMR;lzz-20230914-1-131;BN-AN-TPh-C NMR;BN-AN-TPh-H NMR;BN-ANH-TPh-C NMR;BN-ANH-TPh-H NMR</t>
  </si>
  <si>
    <t>3a;3b;3c;3d;3e;3f;3g;3h;3i;3j;3k;3l;3m;3n;3o;3p;3q;3r;3s;3t;3u;4a;4b;4c;4d;4e;4f;4g;4h;4i;4j;4k;4l;4m;4n;4o;4p;4q;4r;4s;4t;Table 4;Table 5</t>
  </si>
  <si>
    <t>1.xyz;2.xyz;3-E.xyz;3-Z.xyz;3-int.xyz;4-Eg.xyz;5-Eg.xyz;7-Eg.xyz;e-iii.xyz;e-iv;ts3-E.xyz;ts3-Z.xyz;ts3-int.xyz;ts3-rot.xyz;ts3-rotE.xyz;ts3-rotZ.xyz;ts4-Ea.xyz;ts4-Eg.xyz;ts4-Za.xyz;ts4-Zg.xyz;ts5-Eg.xyz;ts5-Eg_anti.xyz;8.xyz;cis-3-E.xyz;cis-3-Z.xyz;cis-3-int.xyz;cis-ts3-E.xyz;cis-ts3-Z.xyz;cis-ts3-int.xyz;cis-ts3-rot.xyz;cis-ts3-rotE.xyz;cis-ts3-rotZ.xyz;trans-3-E.xyz;trans-3-Z.xyz;trans-3-int.xyz;trans-4-Za.xyz;trans-5-Za.xyz;trans-7-Za.xyz;trans-ts3-E.xyz;trans-ts3-Z.xyz;trans-ts3-int.xyz;trans-ts3-rot.xyz;trans-ts3-rotE.xyz;trans-ts3-rotZ.xyz;trans-ts4-Ea.xyz;trans-ts4-E</t>
  </si>
  <si>
    <t>tra</t>
  </si>
  <si>
    <t>ans</t>
  </si>
  <si>
    <t>Za_an</t>
  </si>
  <si>
    <t>3;3_CARBON_01.fid;3_HSQCAD_01.fid;3_PROTON_01.fid;5a_CARBON_01.fid;5a_PROTON_01.fid;5b_CARBON_01.fid;5b_PROTON_01.fid;6a;6a_CARBON_01.fid;6b_PROTON_01.fid;Photoinitiation;Racemic Standard;Thermal Initiation;6b_CARBON_01.fid;7_CARBON_01.fid;7_FLUORINE_01.fid;7_PROTON_01.fid;8;8_CARBON_01.fid;8_FLUORINE_01.fid;8_PROTON_01.fid;D1;D1_CARBON_01.fid;D1_HSQCAD_01.fid;D1_PROTON_01.fid;D2;D2_CARBON_01.fid;D2_HSQCAD_01.fid;D2_PROTON_01_25C.fid;D2_PROTON_01_75C.fid;D3;D3_CARBON_01.fid;D3_HSQCAD_01.fid;D3_PROTON_01.fid;D4;D4_CARBON_01.fid;D4_HSQCAD_01.fid;D4_PROTON_01.fid;S3_CARBON_01.fi</t>
  </si>
  <si>
    <t>TON</t>
  </si>
  <si>
    <t>.f</t>
  </si>
  <si>
    <t>12-SAR-807;3a;3aa;3aaa;3aab;3aac;3aad;3aae;3aaf;3aag;3aah;3ab;3ac;3ad;3ae;3af;3ag;3ah;3ai;3aj;3ak;3al;3am;3an;3ao;3ap;3aq;3ar;3as;3at;3au;3av;3aw;3ax;3ay;3az;3b;3c;3d;3e;3f;3g;3h;3i;3j;3k;3l;3m;3n;3o r;3p;3q;3r r;3s r;3t r;3u r;3v;3w;3x;3y;3z;SDD-1302;SDD-1602</t>
  </si>
  <si>
    <t>1a-13C;1a-1H;1b-13C;1b-1H;1c-13C;1c-1H;1d-13C;1d-1H;1e-13C;1e-1H;1f-13C;1f-1H;1g-13C;1g-1H;1h-13C;1h-1H;1i-13C;1i-1H;1j-13C;1j-1H;1k-13C;1k-1H;1l-13C;1l-1H;1m-13C;1m-1H;1n-13C;1n-1H;1o-13C;1o-1H;1p-13C;1p-1H;1q-13C;1q-1H;1r-13C;1r-1H;1s-13C;1s-1H;1t-13C;1t-1H;1v-13C;1v-1H;1w-13C;1w-1H;E-3a-13C;E-3a-1H;E-3b-13C;E-3b-1H;E-3c-13C;E-3c-1H;E-3d-13C;E-3d-1H;E-3e-13C;E-3e-1H;E-3f-13C;E-3f-1H;E-3g-13C;E-3g-1H;E-3h-13C;E-3h-1H;E-3i-13C;E-3i-1H;E-3j-13C;E-3j-1H;E-3k-13C;E-3k-1H;E-3l-13C;E-3l-1H;E-3m'-13C;E-3m'-1H;E-3m-13C;E-3m-1H;E-3n-13C;E-3n-1H;E-3o-13C;E-3o-1H;E-3p-13C;E-3p-1H;E-3q-</t>
  </si>
  <si>
    <t>1d-C-cjz-01-03-C-20221.fid;1d-H-cjz-01-03-H-250221.fid;1e-C-lgx-13-10-3-C-250221.fid;1e-H-lgx-13-10-3-H-250221.fid;3a;lgx-12-muchan-H.fid;lgx-12-42-1-C.fid;lgx-12-42-1-F.fid;lgx-12-42-1-H.fid;lgx-12-42-2-C.fid;lgx-12-42-2-H.fid;lgx-12-42-3-C.fid;lgx-12-42-3-H.fid;lgx-12-42-4-C.fid;lgx-12-42-4-H.fid;lgx-12-42-5-C.fid;lgx-12-42-5-H.fid;lgx-12-43-1-C.fid;lgx-13-22-1-H.fid;3h;lgx-12-44-5-F.fid;lgx-12-44-5-H.fid;lgx-12-44-3-C.fid;lgx-12-44-3-H.fid;lgx-12-44-4-C.fid;lgx-12-44-4-H.fid;lgx-12-47-2-C.fid;lgx-12-47-2-H.fid;lgx-12-47-1-3-H.fid;lgx-12-47-1-C-2.fid;3n;lgx-14-17-1-H-Me.fid</t>
  </si>
  <si>
    <t>2a.mnova;2b.mnova;2c.mnova;2d.mnova;2e.mnova;2f.mnova;2g.mnova;2h.mnova;2i.mnova;2j.mnova;2k.mnova;2l.mnova;2m.mnova;2n.mnova;2o.mnova;2p.mnova;2q.mnova;2r.mnova;2s.mnova;2t.mnova;2u.mnova;2v.mnova;2w.mnova;2x.mnova;2y.mnova;2z.mnova;3aa.mnova;3ab.mnova;3ac.mnova;3ad.mnova;3ae.mnova;3af.mnova;3ag.mnova;3ah.mnova;3ba.mnova;3ca.mnova;3da.mnova;3ga.mnova;5.mnova;6.mnova;Rel-(1R,4R,7S)-7.mnova;Rel-(1S,4R,7R)-7.mnova;cis- 3al.mnova;cis-3ai.mnova;cis-3aj.mnova;cis-3ak.mnova;cis-3am.mnova;cis-3an.mnova;cis-3ao.mnova;cis-3ap.mnova;cis-3aq.mnova;cis-3ar.mnova;cis-3at.mnova;cis-3au.mno</t>
  </si>
  <si>
    <t>-3a</t>
  </si>
  <si>
    <t>Primary NMR FID files 3aa-3ca;Primary NMR FID files 3cb-3fa;Primary NMR FID files 3ga-3ha;Primary NMR FID files 3hb-3ja;Primary NMR FID files 3ka-3la</t>
  </si>
  <si>
    <t>Compound 1;Compound 2;Compound 3;Compound 4;Compound 5;Compound 6;Compound 7;Compound 8;Compound 9</t>
  </si>
  <si>
    <t>13C NMR of 4,7-Dibromobenzo[1,2,3]thiadiazole (2Br);13C NMR of 4,7-Diiodobenzo[1,2,3]thiadiazole (2);13C NMR of 4,7-Diiodobenzo[2,1,3]thiadiazole (5I);CARBON_01.fid;13C NMR of Qbtd;13C NMR of Qibtd;13C NMR of Qibtd2;13C NMR of Qibtd3;13C NMR of Qibtd4;13C NMR of Qibtd5;1H NMR of 4,7-Dibromobenzo[1,2,3]thiadiazole (2Br);1H NMR of 4,7-Diiodobenzo[1,2,3]thiadiazole (2);PROTON_01.fid;1H NMR of 4,7-Diiodobenzo[2,1,3]thiadiazole (5I);1H NMR of Qbtd;1H NMR of Qibtd;1H NMR of Qibtd2;1H NMR of Qibtd3;1H NMR of Qibtd4;1H NMR of Qibtd5</t>
  </si>
  <si>
    <t>B3LYP;mol_nameR1.txt;mol_nameR1R2s.txt;mol_nameR1R3s.txt;mol_nameR1R4s.txt;mol_nameR1sR2.txt;mol_nameR2.txt;mol_nameR2conf.txt;mol_nameR2R5s.txt;mol_nameR3.txt;mol_nameR4.txt;mol_nameR4R6s.txt;mol_nameR5.txt;mol_nameR6.txt;mol_nameR6R7s.txt;mol_nameR6R7s2nd.txt;mol_nameR6R7s3rd.txt;mol_nameR7.txt;mol_name_all1.txt;mol_name_all1_design.txt;mol_name_all2.txt;mol_name_all2_design.txt;mol_name_all2_design_qTS.txt;mol_name_allR1.txt;mol_name_allR1R2s.txt;mol_name_allR1R3s.txt;mol_name_allR1R4s.txt;mol_name_allR1sR2.txt;mol_name_allR2.txt;mol_name_allR2conf.txt;mol_name_allR2R5s.tx</t>
  </si>
  <si>
    <t>3a (R1=Ph, R2=cinnamyl, R3=H, PG=TBS);3b (R1=H, R2=cinnamyl, R3=H, PG=TBS);3c (R1=Ph, R2=cinnamyl, R3=H, PG=TMS);3d (R1=Ph, R2=cinnamyl, R3=H, PG=TBPS);3e (R1=Ph, R2=cinnamyl, R3=H, PG=Bz);3f (R1=Ph, R2=cinnamyl, R3=H, PG=cinnamyl);3g (R1=Ph, R2=naphacrylate, R3=H, PG=TBS);3h (R1=Ph, R2=pMe-cinnamyl, R3=H, PG=TBS);3j (R1=Ph, R2=pCF3-cinnamyl, R3=H, PG=TBS);3l (R1=Ph, R2=pF-cinnamyl, R3=H, PG=TBS);3m (R1=Ph, R2=pCl-cinnamyl, R3=H, PG=TBS);3n (R1=Ph, R2=pBr-cinnamyl, R3=H, PG=TBS);3o (R1=Ph, R2=mCl-cinnamyl, R3=H, PG=TBS);3p (R1=Ph, R2=oCl-cinnamyl, R3=H, PG=TBS);3q (R1=Ph, R2=</t>
  </si>
  <si>
    <t>nna</t>
  </si>
  <si>
    <t>FID for Publication-Materials;2ah;4a;4b;4c;4d;4e;4f;4g;4h;4i;4j;4k;4l;4m;4n;4o;4p;4q;4aa;4ab;4ac;4ad;4ae;4af;4ag;4ah;FID for Publication-Products 4aa-ak;4aj;4ak;5a;5b;5c;5d;5e;5f;5g;5h;5i;5j;5k;5l;5m;5n;5o;5p;5q;5r;5s;5aa;5ab;5ac;5ad;5ae;5af;5ag;5ah;5ai;5aj;10;12;13;6;8;9</t>
  </si>
  <si>
    <t>Application NMR;Cyclopropene;3a;3b;3c;3d;3e;3f;3g;3h;3i;3j;3k;3l;3m;3n;3o;3p;3q;3r;3s;3t;3u;3v;3w;3x;3y;SM acid</t>
  </si>
  <si>
    <t>3a;3aa;3ab;3ac;3ad;3ae;3af;3ag;3ah;3ai;3aj;3ak;3al;3am;3an;3ao;3ap;3aq;3ar;3as;3at;3au;3b;3c;3d;3e;3f;3g;3h;3i;3j;3k;3l;3m;3n;3o;3p;3q;3r;3s;3t;3u;3v;3w;3x;3y;3z;MH Mech</t>
  </si>
  <si>
    <t>10a_PROTON_01.fid;11a_PROTON_01.fid;12a_PROTON_01.fid;13a_PROTON_01.fid;14a_PROTON_01.fid;15a_PROTON_01.fid;16a_PROTON_02.fid;17a_PROTON_01.fid;18a_PROTON_01.fid;19aR_PROTON_01.fid;19a_PROTON_01.fid;20a_PROTON_01.fid;21a_PROTON_01.fid;22a_PROTON_01.fid;23a_PROTON_01.fid;24aR_PROTON_01.fid;24a_PROTON_01.fid;25a_PROTON_01.fid;26aR_PROTON_01.fid;26a_PROTON_01.fid;27a_PROTON_01.fid;28a_PROTON_01.fid;29a_PROTON_01.fid;2a_PROTON_01.fid;2b_PROTON_01.fid;2cR_PROTON_01.fid;2c_PROTON_01.fid;2d_PROTON_01.fid;2e_PROTON_01.fid;2f_PROTON_01.fid;2g_PROTON_01.fid;2h_PROTON_01.fid;2i_PROTON_0</t>
  </si>
  <si>
    <t>id;</t>
  </si>
  <si>
    <t>2j_</t>
  </si>
  <si>
    <t>_PR</t>
  </si>
  <si>
    <t>3a.mnova;5a.mnova;5b.mnova;5c.mnova;5d.mnova;5e.mnova;5f.mnova;5g.mnova;5h.mnova;5i.mnova;5j.mnova;5k.mnova;5l.mnova;5m.mnova;5n.mnova;5o.mnova;5p.mnova;5q.mnova;5r.mnova;5s.mnova;5t.mnova;5u.mnova;5v.mnova;5w.mnova;6a.mnova;6b.mnova;6c.mnova;6d.mnova;7a.mnova;7b.mnova;7c_first diastereomer.mnova;7c_second diastereomer.mnova;7d.mnova;7e.mnova;9a.mnova;9b.mnova</t>
  </si>
  <si>
    <t>2B;2E;2h;2k;2w;2x;2y;2z;3 aA;3 aB;3 aC;3 aD;3 aE;3aa;3ab;3ac;3ad;3ae;3af;3ag;3ah;3ai;3aj;3ak;3al;3am;3an;3ao;3ap;3aq;3ar;3as;3at;3au;3av;3aw+3aw';3ax;3ay;3az;3be;3ce;3de;3ee;4aa;5aa;cis-3ae;cis-3ay</t>
  </si>
  <si>
    <t>3a;3aa;3ab;3ac;3b;3c;3d F;3d;3e;3f;3g;3h;3i;3j;3k;3l F;3l;3m;3n;3o;3p;3q;3r;3s;3t;3u;3v F;3v;3w;3x;3y;3z;4 mninor;4;5;7a;7b;Indoline</t>
  </si>
  <si>
    <t>comp 10;comp 11;comp 12-Ac;comp 12;comp 13;comp 14;comp 3;comp 4;comp 5;comp 8;comp 9;streptoglceride A(1);streptoglceride A(2)</t>
  </si>
  <si>
    <t>1 A;1 B;1a;1b;1c;1d;1e;1f;1g;1h;1i;1j;1k;1l;1m;1n;1o;1p;1q;1r;1s;1t;1u;1v;1w;1x;1y;1z;2 B;2a;2b;2c;2d;2e;2f;2g;2h;2i;2j;2k;2l;2m;2n;2o;2p;2q;2r;2s;2t;2u;2x;2y</t>
  </si>
  <si>
    <t>3aa;3ab;3ac;3ad;3ae;3af;3ag;3ah;3ai;3aj;3ak;3al;3am;3an;3ao;3ap;3aq;3ar;3as;3at;3au;3av;3bb';3bb;3cc &amp; 3cc';4aa;4an;5a;5b;5c;5d;d1</t>
  </si>
  <si>
    <t>10;11;12;13;18;19;1u;1ze;1zf;1zh;2b-d2;2k;2z;3a;3b-d2;3b;3c;3d;3e;3f;3g;3h;3i;3j;3k;3l;3m;3n;3o;3p;3s;3t;3u;3v;3w;3x;3y;3z;3za;3zb;3zc;3zd;3ze;3zf;3zg;3zh;4a-q;4r;4t-zb;4zc;5a;5b;5c;5d;5e;5f;5g;5h;5i;5j;5k;5l;5m;5n;5o;5p;5q;5r;5s;5t;5u;5v;5w;5x;5y;5z;5za;5zb;5zc;5zd;6a;6b;6c;6d;6e;6f;6g;6h;6i;6j;6k;6l;6m;6n;6o;6p;6q;6r;6s;6t;6u;6v;7;8;9;Competitive C-C vs C=C K2CO3-Crude-1H;Competitive C-C vs C=C KOH-Crude-1H;Competitive Crude K2CO3-1H;Competitive Crude KOH-1H;F1;F2;F3;F4;F5;F6;L1-NHOH-NNO-Lig NMR;L2-NME-NNO-Lig NMR;L3-OME-NNO-Lig NMR;L4-QUIN-NHOH-Lig-NMR</t>
  </si>
  <si>
    <t>1_triflates;R3147021.fid;R3806981.fid;R4500672.fid;R3853890.fid;R3888953.fid;R4155545.fid;R4497442.fid;R4497442_C13.fid;R4492711.fid;R4492711_C13.fid;R4497412.fid;R4497412_C13.fid;R4046391.fid;R4497402.fid;R4497402_C13.fid;R4127512.fid;R4094364.fid;R350067.fid;R3740420.fid;R4497372.fid;R4497372_C13.fid;R4496339.fid;R4496339_C13.fid;R1405704.fid;R1405704_C13.fid;R1405704_P31_H1.fid;R3821286.fid;comp05b_1324-938_cdcl3;R3821286_P31_H1.fid;R4343270.fid;comp06b_1324-940_cdcl3;R4343270_P31_H1.fid;R3880799.fid;comp07b_1324-939_cdcl3;R3880799_P31_H1.fid;R3896367.fid;comp08b_1364-378_</t>
  </si>
  <si>
    <t>Compound 10;Compound 11;Compound 12;Compound 13;Compound 14;Compound 15;Compound 16;Compound 17;Compound 18;Compound 19;Compound 20;Compound 21;Compound 22;Compound 23;Compound 24;Compound 25;Compound 26;Compound 3;Compound 32;Compound 4;Compound 5;Compound 6;Compound 7;Compound S2</t>
  </si>
  <si>
    <t>11aa_(TJ-316-13C);11aa_(TJ-316-1H);11ba_(TJ-325-13C);11ba_(TJ-325-1H);11ma_(TJ-319-13C);11ma_(TJ-319-1H);11pa_(TJ-326-13C);11pa_(TJ-326-1H);12_(TJ-243-13C);12_(TJ-243-1H);13_(TJ-287-13C);13_(TJ-287-1H);14_(TJ-266-13C);14_(TJ-266-1H);15_(TJ-260-13C);15_(TJ-260-1H);3aa_(TJ-94-13C);3aa_(TJ-94-1H);3ab_(TJ-158-13C);3ab_(TJ-158-1H);3ac_(TJ-162-13C);3ac_(TJ-162-1H);3ba_(TJ-118-13C);3ba_(TJ-118-1H);3bb_(TJ-163-13C);3bb_(TJ-163-1H);3bc_(TJ-164-13C);3bc_(TJ-164-1H);3ca_(TJ-176-13C);3ca_(TJ-176-1H);3cb_(TJ-177-13C);3cb_(TJ-177-1H);3cc_(TJ-181-13C);3cc_(TJ-181-1H);3da_(TJ-157-13C);3da_(T</t>
  </si>
  <si>
    <t>a_(</t>
  </si>
  <si>
    <t>Compound 2_NMR-opt.pdb;Compound 4_NMR-opt.pdb;Compound 8_NMR-opt.pdb;Compound 9_NMR-opt.pdb</t>
  </si>
  <si>
    <t>compound 10 (13C);compound 11 (13C);compound 12 (13C);compound 13 (13C);compound 14 (13C);compound 15 (13C);compound 16 (13C);compound 17 (13C);compound 18 (13C);compound 19 (13C);compound 20 (13C);compound 21 (13C);compound 22 (13C);compound 23 (13C);compound 24 (13C);compound 25 (13C);compound 26 (13C);compound 27 (13C);compound 28 (13C);compound 29 (13C);compound 3 (13C);compound 30 (13C);compound 31 (13C);compound 32 (13C);compound 33 (13C);compound 34 (13C);compound 35 (13C);compound 36 (13C);compound 37 (13C);compound 38 (13C);compound 39 (13C);compound 4 (13C);compound</t>
  </si>
  <si>
    <t>6a-CRI.fchk;6a-CRI.log;6b-CRI.fchk;6b-CRI.log;6c-CRI.fchk;6c-CRI.log;6d-CRI.fchk;6d-CRI.log;6e-CRI.fchk;6e-CRI.log;6f-CRI.fchk;6f-CRI.log;6g-CRI.fchk;6g-CRI.log;6h-CRI.fchk;6h-CRI.log;6i-CRI.fchk;6i-CRI.log;6j-CRI.fchk;6j-CRI.log;6k-CRI.fchk;6k-CRI.log;6l-CRI.fchk;6l-CRI.log;6m-CRI.fchk;6m-CRI.log;6n-CRI.fchk;6n-CRI.log;6o-CRI.fchk;6o-CRI.log;6p-CRI.fchk;6p-CRI.log;6a-ORI.fchk;6a-ORI.log;6b-ORI.fchk;6b-ORI.log;6c-ORI.fchk;6c-ORI.log;6d-ORI.fchk;6d-ORI.log;6e-ORI.fchk;6e-ORI.log;6f-ORI.fchk;6f-ORI.log;6g-ORI.fchk;6g-ORI.log;6h-ORI.fchk;6h-ORI.log;6i-ORI.fchk;6i-ORI.log;6j-ORI.</t>
  </si>
  <si>
    <t>fch</t>
  </si>
  <si>
    <t>k;6</t>
  </si>
  <si>
    <t>13C NMR-3aa.mnova;13C NMR-3ab.mnova;13C NMR-3ac.mnova;13C NMR-3ad.mnova;13C NMR-3ae.mnova;13C NMR-3af.mnova;13C NMR-3ag.mnova;13C NMR-3ah.mnova;13C NMR-3ai.mnova;13C NMR-3aj.mnova;13C NMR-3ak.mnova;13C NMR-3al.mnova;13C NMR-3ba.mnova;13C NMR-3ca.mnova;13C NMR-3da.mnova;13C NMR-3ea.mnova;13C NMR-3fa.mnova;13C NMR-3ga.mnova;13C NMR-3ha.mnova;13C NMR-3ia.mnova;13C NMR-3ja.mnova;13C NMR-3ka.mnova;13C NMR-3la.mnova;13C NMR-3ma.mnova;13C NMR-3na.mnova;13C NMR-3oa.mnova;13C NMR-3pa.mnova;13C NMR-3qa.mnova;13C NMR-3ra.mnova;13C NMR-3sa.mnova;13C NMR-4.mnova;13C NMR-5.mnova;13C NMR-6.</t>
  </si>
  <si>
    <t>2 n;2 t;2 u;2 v;2 z;3 a;3 b;3 c;3 d;3 e;3 f;3 g;3 h;3 i;3 j;3 k;3 l;3 m;3 n;3 o;3 p;3 q;3 r;3 s;3 t;3 u;3 v;3 w;3 x;3 y;3 z;3aa;3ab;3ac;3ad;3ae;3af;3ag;3ah;3ai;3aj;3ak;3al;3am;3an;3ao;3ap</t>
  </si>
  <si>
    <t>1H NMR, 13C NMR and 19F NMR Spectra.mnova;4a-C;4a-H;4b-C;4b-H;4c-C;4c-H;4d-C;4d-H;4e-C;4e-H;4f-C;4f-H;4g-C;4g-H;4h-C;4h-H;4i-C;4i-H;4j-C;4j-F;4j-H;4k-C;4k-F;4k-H;4l-C;4l-F;4l-H;4m-C;4m-H;4n-C;4n-H;4o-C;4o-H;4p-C;4p-H;4q-C;4q-H;4r-C;4r-H;4s-C;4s-H;4t-C;4t-H;4u-C;4u-H;5a-C;5a-H;5aa-C;5aa-H;5ab-C;5ab-H;5ac-C;5ac-H;5ad-C;5ad-H;5ae-H;5b-C;5b-H;5c-C;5c-H;5d-C;5d-H;5e-C;5e-H;5f-C;5f-H;5g-C;5g-H;5h-C;5h-F;5h-H;5i-C;5i-F;5i-H;5j-C;5j-F;5j-H;5k-C;5k-H;5l-C;5l-H;5m-F;5m-H;5n-C;5n-H;5o-C;5o-H;5p-C;5p-H;5q-C;5q-H;5r-C;5r-H;5s-C;5s-H;5t-C;5t-H;5u-C;5u-H;5v-C;5v-H;5w-C;5w-H;5x-C;5x-H;5y-C;5</t>
  </si>
  <si>
    <t>5-(3-ethyl-4-methoxyphenyl)-2-methylpentan-2-ol;5-(4-methoxyphenyl)-2-methylpentan-2-ol;7-methoxy-1,1-dimethyl-1,2,3,4-tetrahydronaphthalene;III;IV;IX;VII;VIII;XI;XII;XIV;XVII;ethyl 4-(3-ethyl-4-methoxyphenyl)butanoate;ethyl 4-(4-methoxyphenyl)butanoate</t>
  </si>
  <si>
    <t>ABP;ABV;AEP Optimization;AEP;AEV;AMV;BPV;PPP;PPV;TPP;TPV Optimization;TPV;TTA;TTP;TTV</t>
  </si>
  <si>
    <t>13C of compound  4a;13C of compound  4b;13C of compound  4c;13C of compound  4d;13C of compound  4e;13C of compound  4f;13C of compound  4g;13C of compound  4h;13C of compound  4i;13C of compound  4j;13C of compound  4k;13C of compound  4l;13C of compound  4m;13C of compound  4n;13C of compound  5a;13C of compound  5b;13C of compound  5c;13C of compound 3a;13C of compound 3d;13C of compound 3g;13C of compound 3h;13C of compound 3i;13C of compound 3j;13C of compound 3k;13C of compound 3l;13C of compound 3n;13C of compound 3o;1H of compound  4a;1H of compound  4b;1H of compound</t>
  </si>
  <si>
    <t>c</t>
  </si>
  <si>
    <t>ompo</t>
  </si>
  <si>
    <t>RC-3-D-24B-CR_CARBON_20250301_01.fid;RC-3-D-24B-CR_HSQCAD_20250301_01.fid;RC-3-D-24B-CR_PROTON_20250301_02.fid;RC-3-D-24B-CR_gHMBCAD_20250301_01.fid;RC-3-D-35A-P_CARBON_20250301_01.fid;RC-3-D-35A-P_HSQCAD_20250301_01.fid;RC-3-D-35A-P_PROTON_20250301_02.fid;RC-3-D-34B-P_CARBON_20250301_01.fid;RC-3-D-34B-P_HSQCAD_20250301_01.fid;RC-3-D-34B-P_PROTON_20250301_02.fid;RC-3-D-34B-P_gHMBCAD_20250301_01.fid;RC-3-D-37A-P_CARBON_20250301_01.fid;RC-3-D-37A-P_HSQCAD_20250301_01.fid;RC-3-D-37A-P_PROTON_20250301_02.fid;RC-3-D-37A-P_gHMBCAD_20250301_01.fid;RC-3-D-38B-P_CARBON_20250305_01.fid</t>
  </si>
  <si>
    <t>3aa. JSP01-P-CDCL3;3ab. JSP16-P2-CDCL3;3ac. JM431-P-RE-CDCL3;3ba. JM400-P-CDCL3;3ca. JM393-P-CDCL3;3da. JM399-P-CDCL3;3ea. JM398-P-CDCL3;3fa. JM468-P-ACE;3ga. JM405-P1-CDCL3;3ha. JM411-P-RE-CDCL3;3ia. JM346-P1-CDCL3(re);3ja. JM-ZM04-P-CDCL3;3ka. JM370-RE-P-CDCL3;3la. ZM05-P-CDCL3, ZM46(C);3ma;3oa. JSP31-P;3pa. JM-JSP06-P-RE-CDCL3;3qa. ZM10-P-RE2;4aa. TJ-n-379B-P2;4ab. JM446-P-ACE;4ba. JSP-JM436-P;4ca. JM373-P-RE-ACE;4da. JM483(rp)-P-11-CDCL3;4ea. JM377-P-RE-CDCL3;4fa. JM378-P-CDCL3;4ga. JM380-P-RE;4ha. JM379-P;4ia. ZM03-P-RE(2)-DMSO;4ja. JSP-JM415-P-RE-ACE;5a. TJ-N-359;Ruthen</t>
  </si>
  <si>
    <t>10a-10h;C NMR;H NMR;PROTON_01.fid;11a-11h;FAL1095-9-12-PROTON_01.fid;C NMR.fid;12b-12f;5a-5h;H NMR.fid;7a-7f;8b-8d;9a-9h;FAL-BR-PHT-PROTON_01.fid</t>
  </si>
  <si>
    <t>01. diprotio_radical_gs_12a.out;02. diprotio_cyclization_ts(12a-to-13a).out;03. diprotio_radical_closed_gs_13a.out;04. difluoro_radical_gs_12b.out;05. difluoro_radical_ts(12b-to-13b).out;06. difluoro_radical_closed_gs_13b.out;07. Difluoroanhydride reactive 18.out;08. TS1.out;09. Diradical DiRad.out;10. TS2.out;11. Cyclic Allene 19.out;12. Cyclohexene cy.out;13. 32 min.out;14. HF.out;15. 33 min.out;16. 33 from RC of TS3 and TS4.out;17. TS3.out;18. TS4.out;19. 29 min.out;20. 29 from RC of TS3.out;21. 30 min.out;22. 30 from RC of TS4.out;List of computed stationary points shown</t>
  </si>
  <si>
    <t>compound_IDs</t>
  </si>
  <si>
    <t>comment</t>
  </si>
  <si>
    <t>"-FID"</t>
  </si>
  <si>
    <t>"_(...)"</t>
  </si>
  <si>
    <t>"compound…"</t>
  </si>
  <si>
    <t>?</t>
  </si>
  <si>
    <t>"Data.docx"</t>
  </si>
  <si>
    <t>"NOESY"</t>
  </si>
  <si>
    <t>ID_13C.mnova</t>
  </si>
  <si>
    <t>".ZIP__"</t>
  </si>
  <si>
    <t>10_(DSN-799 13C )  spot-I;10_(DSN-799 1H ) spot-1;11_(DSN-799 13C ) Spot-II;11_(DSN-799 1H ) Spot-II;3aa_(DSN-625 13 C );3aa_(DSN-625 1H );3ab_(DSN-613 13C );3ab_(DSN-613 1H );3ac_(DSN-619 13C );3ac_(DSN-619 1H );3ad_(DSN-634 13C );3ad_(DSN-634 1H );3ae_(DSN-690 13C);3ae_(DSN-690 1H );3af_(DSN-808 13C);3af_(DSN-808 1H );3ag_(DSN-633 13C );3ag_(DSN-633 1H );3ah_(DSN-692 13C );3ah_(DSN-692 1H );3ai_(DSN-691 13C );3ai_(DSN-</t>
  </si>
  <si>
    <t>);3aj_(</t>
  </si>
  <si>
    <t>DSN-812</t>
  </si>
  <si>
    <t>3aj_(</t>
  </si>
  <si>
    <t>DSN-8</t>
  </si>
  <si>
    <t>1H )</t>
  </si>
  <si>
    <t>;3ak_(DSN-6</t>
  </si>
  <si>
    <t>03 13C );3a</t>
  </si>
  <si>
    <t>k_(DSN-603 19F</t>
  </si>
  <si>
    <t>);3ak</t>
  </si>
  <si>
    <t>_(DSN-</t>
  </si>
  <si>
    <t>603 1H NMR);3al</t>
  </si>
  <si>
    <t>_(DS</t>
  </si>
  <si>
    <t>N-6</t>
  </si>
  <si>
    <t>17 13C );3al_(</t>
  </si>
  <si>
    <t>DSN-617 19F );3al_(DSN-617 1H );3am_(DSN-977 13C );3am_(DSN-977 1H );3an_(DSN-798 13C );3an_(DSN-798 1H );3ao_(DSN-817 13C );3ao_(DSN-817 1H );3ap_(DSN-815 13C );3ap_(DSN-815 1H );3aq_(DSN-635  1H );3aq_(DSN-635 13C );3aq_(DSN-635 19F );3ar_(DSN-701 13 C );3ar_(DSN-701 1H );3as_(DSN-809 13C );3as_(DSN-809 1H );3at_(DSN-818 13C );3at_(DSN-818 1H );3au_(DSN-1045 13C);3au_(DSN-1045 1H);3av_(DSN-1062 13C);3av_(DSN-1062 1H);3aw_(DSN-1061 13C);3aw_(DSN-1061 1H);3ba_(DSN-877 13C );3ba_(DSN-877 1H );3ca_(DSN-884 13C );3ca_(DSN-884 1H );3da_(DSN-820 13C );3da_(DSN-820 1H );3ea_(DSN-683 13C );3ea_(DSN-683 1H );3eb_(DSN-681 13C );3eb_(DSN-681 1H  );3fa_(AG-307 13C);3fa_(AG-307 1H);3ga_(AG-313 13C);3ga_(AG-313 1H);3ha'-(AG-301 13C) spot-II;3ha'_(AG-301_1H) spot-II;3ha_(AG-301 13C) Spot-I;3ha_(AG-3011H) spot-I;6_(DSN-642 13C );6_(DSN-642 1H )</t>
  </si>
  <si>
    <t>1;Part 1  2;Part 2  2;Part 3  2;Part 1  3;Part 2  3;Part 1  4;Part 2  4</t>
  </si>
  <si>
    <t>2; 3; 4; 5; 6; 7; 8</t>
  </si>
  <si>
    <t>10 13C;10 1H;11 13C;11 1H;13 13C;13 1H;3a 13C;3a 1H;3aa 13C;3aa 1H;3ab 13C;3ab 1H;3ac 13C;3ac 1H;3b 13C;3b 1H;3c 13C;3c 1H;3d 13C;3d 1H;3e 13C;3e 1H;3f 13C;3f 1H;3g 13C;3g 19F;3g 1H;3h 13C;3h 1H;3i 13C;3i 1H;3j 13C;3j 19F;3j 1H;3k 13C;3k 19F;3k 1H;3l 13C;3l 1H;3m 13C;3m 1H;3n 13C;3n 1H;3o 13C;3o 1H;3p 13C;3p 1H;3q 13C;3q 1H;3r 13C;3r 1H;3s 13C;3s 1H;3t 13C;3t 1H;3u 13C;3u 1H;3v 13C;3v 1H;3w 13C;3w 1H;3x 13C;3x 1H;3y 13C;</t>
  </si>
  <si>
    <t>3y</t>
  </si>
  <si>
    <t>1H;</t>
  </si>
  <si>
    <t>3z 13C;3</t>
  </si>
  <si>
    <t>z 1H;5a</t>
  </si>
  <si>
    <t>C;</t>
  </si>
  <si>
    <t>5a</t>
  </si>
  <si>
    <t>1H;5</t>
  </si>
  <si>
    <t>b 13C</t>
  </si>
  <si>
    <t>;5b</t>
  </si>
  <si>
    <t>5c 13C;5c 1</t>
  </si>
  <si>
    <t>H;5d 13C;5d</t>
  </si>
  <si>
    <t>19F;5d 1H;5e</t>
  </si>
  <si>
    <t>13C;5e</t>
  </si>
  <si>
    <t>1H;5f</t>
  </si>
  <si>
    <t>13C;5f 1H;5g 1</t>
  </si>
  <si>
    <t>3C;5</t>
  </si>
  <si>
    <t>g 1</t>
  </si>
  <si>
    <t>H;5h 13C;5h 1H</t>
  </si>
  <si>
    <t>;5i 13C;5i 1H;5j 13C;5j 1H;5k 13C;5k 1H;5l 13C;5l 1H;5m 13C;5m 1H;5n 13 C;5n 1H;5n NOESY;5o 13C;5o 1H;5p 13C;5p 1H;5q 13C;5q 1H;5r 13C;5r 1H;5s 13C;5s 1H;7 13C;7 1H;8 13C;8 1H;9 13C;9 1H</t>
  </si>
  <si>
    <t>10_13C;10_1H;11_13C;11_1H;12_13C;12_1H;13_13C;13_1H;14_13C;14_1H;15_13C;15_1H;1_13C;1_1H;2_13C;2_1H;3_13C;3_1H;4_13C;4_1H;5_13C;5_1H;6_13C;6_1H;7_13C;7_1H;8_13C;8_1H;9_13C;9_1H</t>
  </si>
  <si>
    <t>1[4]H;1[5]H;1[6]H;1[7]H</t>
  </si>
  <si>
    <t>3aa-13C;3aa-1H;3aaa-13C;3aaa-19F.fid;3aaa-1H;3ab-13C.fid;3ab-1H.fid;3aba-13C.fid;3aba-19F.fid;3aba-1H.fid;3ac-13C.fid;3ac-1H.fid;3ad-13C.fid;3ad-1H.fid;3ada-13C.fid;3ada-1H.fid;3ae-13C.fid;3ae-1H.fid;3aea-13C.fid;3aea-1H.fid;3af-13C.fid;3af-1H.fid;3ag-13C.fid;3ag-19F.fid;3ag-1H.fid;3ah-13C.fid;3ah-1H.fid;3ai-13C.fid;3ai-1H.fid;3aj-13C.fid;3aj-1H.fid;3ak-13C.fid;3ak-1H.fid;3ba-13C.fid;3ba-1H.fid;3ca-13C.fid;3ca-1H.fid;3da</t>
  </si>
  <si>
    <t>C.f</t>
  </si>
  <si>
    <t>id;3da-1</t>
  </si>
  <si>
    <t>H.fid;3</t>
  </si>
  <si>
    <t>ea-</t>
  </si>
  <si>
    <t>C.</t>
  </si>
  <si>
    <t>ea-1H</t>
  </si>
  <si>
    <t>d;3f</t>
  </si>
  <si>
    <t>a-13C.fid;3</t>
  </si>
  <si>
    <t>fa-1H.fid;3</t>
  </si>
  <si>
    <t>ga-13C.fid;3ga</t>
  </si>
  <si>
    <t>-1H.fi</t>
  </si>
  <si>
    <t>d;3ha-</t>
  </si>
  <si>
    <t>13C.fid;3ha-1H.</t>
  </si>
  <si>
    <t>fid;</t>
  </si>
  <si>
    <t>3ia</t>
  </si>
  <si>
    <t>-13C.fid;3ia-1</t>
  </si>
  <si>
    <t>H.fid;3ja-13C.fid;3ja-19F.fid;3ja-1H.fid;3ka-13C.fid;3ka-19F.fid;3ka-1H.fid;3la-13C.fid;3la-19F.fid;3la-1H.fid;3ma-13C.fid;3ma-1H.fid;3na-13C.fid;3na-1H.fid;3oa-13C.fid;3oa-1H.fid;3pa-13C.fid;3pa-19F.fid;3pa-1H.fid;3qa-13C.fid;3qa-1H.fid;3ra-13C.fid;3ra-1H.fid;3sa-13C.fid;3sa-1H.fid;3ta-13C.fid;3ta-19F.fid;3ta-1H.fid;3ua-13C.fid;3ua-1H.fid;3va-13C.fid;3va-1H.fid;3wa-13C.fid;3wa-1H.fid;3ya-13C.fid;3ya-1H.fid;3za-13C.fid;3za-1H.fid;4-13C.fid;4-1H.fid</t>
  </si>
  <si>
    <t>1Br,H;1Cl,H;1F,Cl;1F,F;1F,H;1F,NO2;1F,OMe;FID for Publication;1I,H;1Me,H;2Br,H;2Cl,H;2F,CF3;2F,Cl;2F,F;2F,H;2F,OMe;2H,Br;2H,Cl;2H,F;2H,Me;2Me,H;S1Br,H;S1Cl,H;S1F,H;S1F,NO2;S1F,OMe;241211_SupplementalTables.xlsx;Conformer Coordinates for DFT;DFT_Electronic_Energies_of_Conformers.png;Diastereomer-RR.avi;2FBCA-adduct.data;2FBCA-adduct.params;onetraj.10000.dump;onetraj.100000.dump;onetraj.1000000.dump;onetraj.105000.dump;one</t>
  </si>
  <si>
    <t>j.1</t>
  </si>
  <si>
    <t>10000.du</t>
  </si>
  <si>
    <t>mp;onet</t>
  </si>
  <si>
    <t>000.d</t>
  </si>
  <si>
    <t>ump;o</t>
  </si>
  <si>
    <t>raj.</t>
  </si>
  <si>
    <t>120000.dump</t>
  </si>
  <si>
    <t>;onetraj.12</t>
  </si>
  <si>
    <t>5000.dump;onet</t>
  </si>
  <si>
    <t>raj.13</t>
  </si>
  <si>
    <t>0000.d</t>
  </si>
  <si>
    <t>ump;onetraj.135</t>
  </si>
  <si>
    <t>dum</t>
  </si>
  <si>
    <t>p;onetraj.1400</t>
  </si>
  <si>
    <t>00.dump;onetraj.145000.dump;onetraj.15000.dump;onetraj.150000.dump;onetraj.155000.dump;onetraj.160000.dump;onetraj.165000.dump;onetraj.170000.dump;onetraj.175000.dump;onetraj.180000.dump;onetraj.185000.dump;onetraj.190000.dump;onetraj.195000.dump;onetraj.20000.dump;onetraj.200000.dump;onetraj.205000.dump;onetraj.210000.dump;onetraj.215000.dump;onetraj.220000.dump;onetraj.225000.dump;onetraj.230000.dump;onetraj.235000.dump;onetraj.240000.dump;onetraj.245000.dump;onetraj.25000.dump;onetraj.250000.dump;onetraj.255000.dump;onetraj.260000.dump;onetraj.265000.dump;onetraj.270000.dump;onetraj.275000.dump;onetraj.280000.dump;onetraj.285000.dump;onetraj.290000.dump;onetraj.295000.dump;onetraj.30000.dump;onetraj.300000.dump;onetraj.305000.dump;onetraj.310000.dump;onetraj.315000.dump;onetraj.320000.dump;onetraj.325000.dump;onetraj.330000.dump;onetraj.335000.dump;onetraj.340000.dump;onetraj.345000.dump;onetraj.35000.dump;onetraj.350000.dump;onetraj.355000.dump;onetraj.360000.dump;onetraj.365000.dump;onetraj.370000.dump;onetraj.375000.dump;onetraj.380000.dump;onetraj.385000.dump;onetraj.390000.dump;onetraj.395000.dump;onetraj.40000.dump;onetraj.400000.dump;onetraj.405000.dump;onetraj.410000.dump;onetraj.415000.dump;onetraj.420000.dump;onetraj.425000.dump;onetraj.430000.dump;onetraj.435000.dump;onetraj.440000.dump;onetraj.445000.dump;onetraj.45000.dump;onetraj.450000.dump;onetraj.455000.dump;onetraj.460000.dump;onetraj.465000.dump;onetraj.470000.dump;onetraj.475000.dump;onetraj.480000.dump;onetraj.485000.dump;onetraj.490000.dump;onetraj.495000.dump;onetraj.5000.dump;onetraj.50000.dump;onetraj.500000.dump;onetraj.505000.dump;onetraj.510000.dump;onetraj.515000.dump;onetraj.520000.dump;onetraj.525000.dump;onetraj.530000.dump;onetraj.535000.dump;onetraj.540000.dump;onetraj.545000.dump;onetraj.55000.dump;onetraj.550000.dump;onetraj.555000.dump;onetraj.560000.dump;onetraj.565000.dump;onetraj.570000.dump;onetraj.575000.dump;onetraj.580000.dump;onetraj.585000.dump;onetraj.590000.dump;onetraj.595000.dump;onetraj.60000.dump;onetraj.600000.dump;onetraj.605000.dump;onetraj.610000.dump;onetraj.615000.dump;onetraj.620000.dump;onetraj.625000.dump;onetraj.630000.dump;onetraj.635000.dump;onetraj.640000.dump;onetraj.645000.dump;onetraj.65000.dump;onetraj.650000.dump;onetraj.655000.dump;onetraj.660000.dump;onetraj.665000.dump;onetraj.670000.dump;onetraj.675000.dump;onetraj.680000.dump;onetraj.685000.dump;onetraj.690000.dump;onetraj.695000.dump;onetraj.70000.dump;onetraj.700000.dump;onetraj.705000.dump;onetraj.710000.dump;onetraj.715000.dump;onetraj.720000.dump;onetraj.725000.dump;onetraj.730000.dump;onetraj.735000.dump;onetraj.740000.dump;onetraj.745000.dump;onetraj.75000.dump;onetraj.750000.dump;onetraj.755000.dump;onetraj.760000.dump;onetraj.765000.dump;onetraj.770000.dump;onetraj.775000.dump;onetraj.780000.dump;onetraj.785000.dump;onetraj.790000.dump;onetraj.795000.dump;onetraj.80000.dump;onetraj.800000.dump;onetraj.805000.dump;onetraj.810000.dump;onetraj.815000.dump;onetraj.820000.dump;onetraj.825000.dump;onetraj.830000.dump;onetraj.835000.dump;onetraj.840000.dump;onetraj.845000.dump;onetraj.85000.dump;onetraj.850000.dump;onetraj.855000.dump;onetraj.860000.dump;onetraj.865000.dump;onetraj.870000.dump;onetraj.875000.dump;onetraj.880000.dump;onetraj.885000.dump;onetraj.890000.dump;onetraj.895000.dump;onetraj.90000.dump;onetraj.900000.dump;onetraj.905000.dump;onetraj.910000.dump;onetraj.915000.dump;onetraj.920000.dump;onetraj.925000.dump;onetraj.930000.dump;onetraj.935000.dump;onetraj.940000.dump;onjo4c03151 10;11;12;13;14;15;16;17;18;19;1i;1j;1k;1m;1n;1o;1p;1q;20;21;22;23;24;25;26;27;28;29;2aa;2z;3;30;31;32;33;34;35;36;37;38;39;4;40;41;42;43;44;45;46;47;48;49;5;50;51;52;53;54;55;56;57;58;6;7;8;9</t>
  </si>
  <si>
    <t>for 1a C NMR; for 1a H NMR; for 1b C NMR; for 1b H NMR; for 1c C NMR; for 1c H NMR; for 1d C NMR; for 1d H NMR; for 1e C NMR; for 1e F NMR; for 1e H NMR; for 1f C NMR; for 1f H NMR; for 1g C NMR; for 1g H NMR; for 1h C NMR; for 1h H NMR; for 1i C NMR; for 1i H NMR; for 1j C NMR; for 1j F NMR; for 1j H NMR; for 1k C NMR; for 1k H NMR; for 1l C NMR; for 1l H NMR; for 1m C NMR; for 1m H NMR; for 1n C NMR; for 1n H NMR; for</t>
  </si>
  <si>
    <t>NMR; for</t>
  </si>
  <si>
    <t>1o H N</t>
  </si>
  <si>
    <t>MR;</t>
  </si>
  <si>
    <t>f</t>
  </si>
  <si>
    <t>or</t>
  </si>
  <si>
    <t>1p C</t>
  </si>
  <si>
    <t>NMR;</t>
  </si>
  <si>
    <t>fo</t>
  </si>
  <si>
    <t>r 1p</t>
  </si>
  <si>
    <t>H NMR; for</t>
  </si>
  <si>
    <t>1q C NMR;</t>
  </si>
  <si>
    <t>for 1q H NMR;</t>
  </si>
  <si>
    <t>for 2a</t>
  </si>
  <si>
    <t>C NMR</t>
  </si>
  <si>
    <t>; for 2a H NMR;</t>
  </si>
  <si>
    <t>Se NMR; for 2</t>
  </si>
  <si>
    <t>b C NMR; for 2b H NMR; for 2c C NMR; for 2c H NMR; for 2d C NMR; for 2d F NMR; for 2d H NMR; for 2d Se NMR; for 2e C NMR; for 2e F NMR; for 2e H NMR; for 2e Se NMR; for 2f C NMR; for 2f H NMR; for 2g C NMR; for 2g H NMR; for 2g Se NMR; for 2h C NMR; for 2h H NMR; for 2h Se NMR; for 2i C NMR; for 2i H NMR; for 2i Se NMR; for 2j C NMR; for 2j F NMR; for 2j H NMR; for 2j Se NMR; for 2k C NMR; for 2k F NMR; for 2k H NMR; for 2k Se NMR; for 2l C NMR; for 2l H NMR; for 2l Se NMR; for 2m C NMR; for 2m H NMR; for 2m Se NMR; for 2n C NMR; for 2n H NMR; for 2n Se NMR; for 3a C NMR; for 3a H NMR; for 3a Se NMR; for 3aa C NMR; for 3aa H NMR; for 3aa Se NMR; for 3b C NMR; for 3b H NMR; for 3b Se NMR; for 3c C NMR; for 3c H NMR; for 3c Se NMR; for 4h C NMR; for 4h H NMR; for 4h Se NMR</t>
  </si>
  <si>
    <t>10-C;10-F;10-H;3a-C;3a-F;3a-H;3b-C;3b-F;3b-H;3c-C;3c-F;3c-H;3d-C;3d-F;3d-H;3e-C;3e-F;3e-H;3f-C;3f-F;3f-H;3g-C;3g-F;3g-H;3h-C;3h-F;3h-H;3i-C;3i-F;3i-H;3j-C;3j-F;3j-H;3k-C;3k-F;3k-H;3l-C;3l-F;3l-H;3m-C;3m-F;3m-H;3n-C;3n-F;3n-H;3o-C;3o-F;3o-h;3p-C;3p-F;3p-H;4-C;4-F;4-H;5-C;5-F;5-H;6-C;6-H;9-C;9-H</t>
  </si>
  <si>
    <t>13C 3a;13C 3b;13C 3c;13C 3d;13C 3e;13C 3f;13C 3g;13C 3h;13C 3i;13C 3j;13C 3k;13C 3l;13C 3m;13C 3n;13C 3o;13C 3p;13C 3q;13C 3r;13C 3s;13C 3t;13C 6aa;13C 6bc;13C 6ca;13C 6db;13C 6eb;13C 6fb;13C 6ga;13C 6ha;13C 6ic;13C 8a;13C 8e;1H-3a;1H-3b;1H-3c;1H-3d;1H-3e;1H-3f;1H-3g;1H-3h;1H-3i;1H-3j;1H-3k;1H-3l;1H-3m;1H-3n;1H-3o;1H-3p;1H-3q;1H-3r;1H-3s;1H-3t;1H-6aa;1H-6bc;1H-6ca;1H-6db;1H-6eb;1H-6fb;1H-6ga;1H-6ha;1H-6ic;1H-8a;1H-8e;New</t>
  </si>
  <si>
    <t>Tex</t>
  </si>
  <si>
    <t>t Docume</t>
  </si>
  <si>
    <t>nt.txt;</t>
  </si>
  <si>
    <t>New</t>
  </si>
  <si>
    <t>T</t>
  </si>
  <si>
    <t>ex</t>
  </si>
  <si>
    <t>t Doc</t>
  </si>
  <si>
    <t>ument</t>
  </si>
  <si>
    <t>.tx</t>
  </si>
  <si>
    <t>TS1 IF;TS1 IRC;TS1' IF;TS1' IRC;TS2' IF;TS2' IRC;TS5b IF;TS5b IRC;TS7 IF;TS7 IRC</t>
  </si>
  <si>
    <t>2a;2b;2c;2a-k;2d;2e;2f;2g;2h;2i;2j;2k;4a;4b;4a-k;4c;4d;4e;4f;4g;4h;4i;4j;4k;5a;5b;5c;5d;5e;5a-e;6c';6c;6d;7f;9a;9b;9a-g;9c;9d;9e;9f;9g</t>
  </si>
  <si>
    <t>10;11a;12;13;14;16;17;18;19;20;23;24;29;30;11-C;11-H;11-COSY;11-HMBC;11-HSQC;11-NOE; 31 C; 31 COSY; 31 H; 31 HSQC; 31 NOE; 31HMBC</t>
  </si>
  <si>
    <t>2a_(SJ-1311(2)_13C)_51;2a_(SJ-1311(2)_1H)_4;2b_(BKK-BrCH2CN(2)_H)or SJ-1326(Me)__4;2b_(SJ-1326(Me)_13C)_111;2c_(SJ-1342(p-OMe)_13C)_596;2c_(SJ-1342(p-OMe)_1H)_4;2d_(SJ-1330_13C)_42;2d_(SJ-1330_19F)_1;2d_(SJ-1330_1H)_3;2e_(SJ-1327_13C)_32;2e_(SJ-1327_1H)_2;2f_(SJ-1359P_13C)_105 PURE;2f_(SJ-1359P_1H)_1 PURE;2g_(BKK-276_13C)_562;2g_(BKK-276_1H)_4;2h_(BKK-278_13C)_269;2h_(BKK-278_1H)_1;2i_(SJ-1343_13C)_402;2i_(SJ-1343_19F)_4</t>
  </si>
  <si>
    <t>03;</t>
  </si>
  <si>
    <t>2i_</t>
  </si>
  <si>
    <t>(SJ-1343</t>
  </si>
  <si>
    <t>_1H)_3;</t>
  </si>
  <si>
    <t>(B</t>
  </si>
  <si>
    <t>KK</t>
  </si>
  <si>
    <t>-275_</t>
  </si>
  <si>
    <t>13C)_</t>
  </si>
  <si>
    <t>CHC</t>
  </si>
  <si>
    <t>L3;2j_(BKK-</t>
  </si>
  <si>
    <t>275_1H)_1 C</t>
  </si>
  <si>
    <t>HCL3;2k_(BKK-2</t>
  </si>
  <si>
    <t>74_13C</t>
  </si>
  <si>
    <t>)_150;</t>
  </si>
  <si>
    <t>2k_(BKK-274_19F</t>
  </si>
  <si>
    <t>)_7;</t>
  </si>
  <si>
    <t>2k_</t>
  </si>
  <si>
    <t>(BKK-274_1H)_2</t>
  </si>
  <si>
    <t>;2l_(BKK-244(FINAL)_13C)_100;2l_(BKK-244(FINAL)_1H)_3;2m_(BKK-245_13C)_500;2m_(BKK-245_1H)_2;2n_(SJ-1349(R)_13C)_500;2n_(SJ-1349(R)_1H)_4;2o_(BKK-723_13C)_455;2o_(BKK-723_1H)_4;2p_(SJ-1341(5-Br)_1H)_1;2p_(SJ-1341_13C)_138;2q_(BKK-713_13C)_200;2q_(BKK-713_1H)_2;2r_(BKK-381_13C)_4;2r_(BKK-381_1H)_3;2rÎ¶_(BKK-381(2)_13C)_438_PURE;2rÎ¶_(BKK-381(2)_1H)_42_PURE;2s_(BKK-383_13C)_456;2s_(BKK-383_1H)_2;2t_(BKK-388_13C)_40;2t_(BKK-388_1H)_6;2u_(BKK-633_13C)_107;2u_(BKK-633_1H)_1;2v_(BKK-385_13C)_425;2v_(BKK-385_19F)_6;2v_(BKK-385_1H)_3;2w_(BKK-384_13C)_433;2w_(BKK-384_1H)_3;2x_(BKK-386(2)R_13C)_210;2x_(BKK-386(2)_1H)_5;2y_(BKK-392(N-ET)_13C)_445;2y_(BKK-392(N-ET)_1H)_43;2z_(BKK-393F1_13C)_100 (TOLUENE);2z_(BKK-393F1_1H)_501 MANNUAL (TOLUENE);2Î±_(BKK-389(2)_13C)_536;2Î±_(BKK-389(2)_1H)_4;2Î²_(BKK-380_13C)_50;2Î²_(BKK-380_1H)_1;2Î³_(BKK-603R2_13C)_300 PURE;2Î³_(BKK-603R2_1H)_5 PURE;3a_(BKK-672_13C)_258;3a_(BKK-672_1H)_1;3b_(SJ-1326(THERMAL)_13C)_17;3b_(SJ-1326(THERMAL)_1H)_3;3c_(BKK-688_13C)_104;3c_(BKK-688_1H)_9;3d_(BKK-658_13C)_787;3d_(BKK-658_19F)_8;3d_(BKK-658_1H)_1;3e_(BKK-666_13C)_105;3e_(BKK-666_1H)_3;3f_(BKK-660_13C)_500;3f_(BKK-660_1H)_5;3g_(BKK-684(P)_13C)_2;3g_(BKK-684(P)_1H)_8;3h_(BKK-661(2)(R)_13C)_100;3h_(BKK-661(2)(R)_1H)100;3j_(BKK-685(2)_13C)_4;3j_(BKK-685(2)_1H)_2;3k_(BKK-662_13C)_101;3k_(BKK-662_19F)_856;3k_(BKK-662_1H)_7;3l'_(BKK-665(P)_13C)_1563;3l'_(BKK-665(P)_1H)_14;3l_(BKK-665(1)_13C)_424;3l_(BKK-665(1)_1H)_3;3m'_(BKK-667(2)_13C)_965_3HRS;3m'_(BKK-667(2)_1H)_177;3n_(BKK-676_13C)_499;3n_(BKK-676_1H)_1;3o_(BKK-679_13C)_789;3o_(BKK-679_1H)_2;3p_(BKK-659_13C)_345;3p_(BKK-659_1H)_2;3Î´_(BKK-724(1)_13C)_400;3Î´_(BKK-724(1)_1H)_3;3Îµ_(BKK-711_13C)_3;3Îµ_(BKK-711_1H)_2;4a_(SJ-1323(DTBP)_13C)_130;4a_(SJ-1323(DTBP)_1H)_8;5_(BKK-714_13C)_578;5_(BKK-714_1H)_4;7_(BKK-461(BHT)_1H)_(DSN-321 13C );7_(BKK-461(BHT)_1H)_(DSN-321 1H ) 25</t>
  </si>
  <si>
    <t>10; 11; 12; 15; 18; 4</t>
  </si>
  <si>
    <t>2n;2o;2p;2q;2r; a; b; c; d; e; f; g; h; i; j; k; l; m; n; o; p; q; r; s; t; u; v; w; x; y; z;aa;ab;5;7;8</t>
  </si>
  <si>
    <t>1a. TE345-P;1b. TE-CZ73-P_CDCl3;1c. TE383-P_ACT;1d. TE427-P_ACT;1e. KCE40-P_CDCl3;1f. TE426-P_ACT;1g. TE524-P_CDCl3;1h. CZ69-P_DSMO;1i. TE411-P_CDCl3;1j. CZ49-P_CDCl3;1k. KCE41-P_CDCl3;1l. TE429-P_ACT;1m. TE475-P_CDCl3;1n. TE572-P_CDCl3;1o. TE554-P_CDCl3;3a. TE-P_ACT;3b. TE517-P_ACT;3c. TE387-P_CDCl3;3d. TE461-P_ACT;3e. TE502-P_ACT;3f. TE462-P_ACT;3g. TE525-P_ACT;3h. CZ75-P_ACT;3i. TE422-P_ACT;3j. TE516-P_ACT;3k. KCE45-P</t>
  </si>
  <si>
    <t>_AC</t>
  </si>
  <si>
    <t>T;3</t>
  </si>
  <si>
    <t>l. TE518</t>
  </si>
  <si>
    <t>-P_ACT;</t>
  </si>
  <si>
    <t>3m.</t>
  </si>
  <si>
    <t>E4</t>
  </si>
  <si>
    <t>80-P_</t>
  </si>
  <si>
    <t>ACT;3</t>
  </si>
  <si>
    <t>n.</t>
  </si>
  <si>
    <t>TE57</t>
  </si>
  <si>
    <t>5-P_ACT;3o.</t>
  </si>
  <si>
    <t>TE558-P_AC</t>
  </si>
  <si>
    <t>T;4b. TE527-P_</t>
  </si>
  <si>
    <t>ACT;4c</t>
  </si>
  <si>
    <t>. TE52</t>
  </si>
  <si>
    <t>9-P_ACE;4d. TE5</t>
  </si>
  <si>
    <t>28-P</t>
  </si>
  <si>
    <t>T;4e. TE531-P_</t>
  </si>
  <si>
    <t>ACT;4f. TE597-P_ACT;4g. TE533-P_ACE;4h. TE552-P_ACT;4i. TE530-P_ACT;4j. TE532-P_ACT;4k. TE541-P_ACT(o);5a. TE592-P_ACT (o);7a. TE506-P_CDCl3;7b. TE569-P_ACT 123;7c. TE587-P2_ACT;deuterium-1a. TE494(2)-SM_CDCl3;deuterium-3a. TE494-P_ACT</t>
  </si>
  <si>
    <t>3'-C ;3'-H ;3-C ;3-H ;lzz-20230914-1-131;BN-AN-TPh-C ;BN-AN-TPh-H ;BN-ANH-TPh-C ;BN-ANH-TPh-H</t>
  </si>
  <si>
    <t>Acetonitrile-HOO;Acetonitrile;CHD-HOO-Acetonitrile_TS;CHD-HOO-DABCO_TS;CHD-HOO-DMSO_TS;CHD-HOO-Methanol_TS;CHD-HOO-Pyridine_TS;Cyclohexadiene;DABCO-HOO;DABCO;DMSO-HOO;DMSO;HOO-HOO-Acetonitrile_TS;HOO-HOO-DABCO_TS;HOO-HOO-DMSO_TS;HOO-HOO-Methanol_TS;HOO-HOO-Pyridine_TS;HOO-HOO_TS;HOO;Methanol-HOO;Methanol;Pyridine-HOO;Pyridine</t>
  </si>
  <si>
    <t>QA-1;QA-I1;QA-P1;QA-P2;QA-TS1;QA-TS2;QA-TS3;QT-1;QT-I1;QT-P1;QT-P2;QT-TS1;QT-TS2;QT-TS3</t>
  </si>
  <si>
    <t>1;2;3-E;3-Z;3-int;4-Eg;5-Eg;7-Eg;e-iii;e-iv;ts3-E;ts3-Z;ts3-int;ts3-rot;ts3-rotE;ts3-rotZ;ts4-Ea;ts4-Eg;ts4-Za;ts4-Zg;ts5-Eg;ts5-Eg_anti;8;cis-3-E;cis-3-Z;cis-3-int;cis-ts3-E;cis-ts3-Z;cis-ts3-int;cis-ts3-rot;cis-ts3-rotE;cis-ts3-rotZ;trans-3-E;trans-3-Z;trans-3-int;trans-4-Za;trans-5-Za;trans-7-Za;trans-ts3-E;trans-ts3-Z;trans-ts3-int;trans-ts3-rot;trans-ts3-rotE;trans-ts3-rotZ;trans-ts4-Ea;trans-ts4-Eg;trans-ts4-Za;tra</t>
  </si>
  <si>
    <t>ns-</t>
  </si>
  <si>
    <t>ts4</t>
  </si>
  <si>
    <t>-Zg;tran</t>
  </si>
  <si>
    <t>s-ts5-Z</t>
  </si>
  <si>
    <t>a;t</t>
  </si>
  <si>
    <t>ra</t>
  </si>
  <si>
    <t>ns</t>
  </si>
  <si>
    <t>-ts5-</t>
  </si>
  <si>
    <t>ti</t>
  </si>
  <si>
    <t>0a-3C;0a-H;a'-3C;a'-H;a-3C;a-H;b-3C;b-H;c-3C;c-H;d-3C;d-H;e-3C;e-H;f-3C;f-H;g-3C;g-H;h-3C;h-H;i-3C;i-H;j-3C;j-H;k-3C;k-H;l-3C;l-H;m-3C;m-H;n-3C;n-H;o-3C;o-H;p-3C;p-H;q-3C;q-H;r-3C;r-H;s-3C;sH;t-3C;t-H;u-3C;u-H;v-3C;v-H;w-3C;w-H;x-3C;x-H;y-3C;y-H;2a-3C;2a-H;3a-3C;3a-H;4-3C;4-H;4a-3C;4a-H;5a-3C;5a-H;6a-3C;6a-9F;6a-H;7a-3C;7a-H;8a-3C;8a-H;8z-3C;8z-H;9a-3C;9a-H;I-3C;I-H</t>
  </si>
  <si>
    <t>6c;6c_BS;6ca;6ca_BS;6cp;6cp_BS;6oa,a;6oa,p;6oa,p_S1min;6op,p;TS-6ca-6c;TS-6ca-6cp;TS-6oa,a-6ca;TS-6oa,a-6oa,p;TS-6oa,p-6cp;TS-6oa,p-6op,p</t>
  </si>
  <si>
    <t>3;3_CARBON_01.fid;3_HSQCAD_01.fid;3_PROTON_01.fid;5a_CARBON_01.fid;5a_PROTON_01.fid;5b_CARBON_01.fid;5b_PROTON_01.fid;6a;6a_CARBON_01.fid;6b_PROTON_01.fid;Photoinitiation;Racemic Standard;Thermal Initiation;6b_CARBON_01.fid;7_CARBON_01.fid;7_FLUORINE_01.fid;7_PROTON_01.fid;8;8_CARBON_01.fid;8_FLUORINE_01.fid;8_PROTON_01.fid;D1;D1_CARBON_01.fid;D1_HSQCAD_01.fid;D1_PROTON_01.fid;D2;D2_CARBON_01.fid;D2_HSQCAD_01.fid;D2_PROT</t>
  </si>
  <si>
    <t>ON_</t>
  </si>
  <si>
    <t>01_</t>
  </si>
  <si>
    <t>25C.fid;</t>
  </si>
  <si>
    <t>D2_PROT</t>
  </si>
  <si>
    <t>_7</t>
  </si>
  <si>
    <t>5C.fi</t>
  </si>
  <si>
    <t>d;D3;</t>
  </si>
  <si>
    <t>D3_</t>
  </si>
  <si>
    <t>CARB</t>
  </si>
  <si>
    <t>ON_01.fid;D</t>
  </si>
  <si>
    <t>3_HSQCAD_01</t>
  </si>
  <si>
    <t>.fid;D3_PROTON</t>
  </si>
  <si>
    <t>_01.fi</t>
  </si>
  <si>
    <t>d;D4;D</t>
  </si>
  <si>
    <t>4_CARBON_01.fid</t>
  </si>
  <si>
    <t>;D4_</t>
  </si>
  <si>
    <t>HSQ</t>
  </si>
  <si>
    <t>CAD_01.fid;D4_</t>
  </si>
  <si>
    <t>PROTON_01.fid;S3_CARBON_01.fid;S3_PROTON_01.fid;S4_CARBON_01.fid;S4_PROTON_01.fid;T1;T1_CARBON_01.fid;T1_HSQCAD_01.fid;T1_PROTON_01.fid;T2;T2_CARBON_01.fid;T2_HSQCAD_01.fid;T2_PROTON_01_25C.fid;T2_PROTON_01_55C.fid;T3;T3_CARBON_01.fid;T3_HSQCAD_01.fid;T3_PROTON_01.fid;T4;T4_CARBON_01.fid;T4_HSQCAD_01.fid;T4_PROTON_01.fid</t>
  </si>
  <si>
    <t>1a-13C;1a-1H;1b-13C;1b-1H;1c-13C;1c-1H;1d-13C;1d-1H;1e-13C;1e-1H;1f-13C;1f-1H;1g-13C;1g-1H;1h-13C;1h-1H;1i-13C;1i-1H;1j-13C;1j-1H;1k-13C;1k-1H;1l-13C;1l-1H;1m-13C;1m-1H;1n-13C;1n-1H;1o-13C;1o-1H;1p-13C;1p-1H;1q-13C;1q-1H;1r-13C;1r-1H;1s-13C;1s-1H;1t-13C;1t-1H;1v-13C;1v-1H;1w-13C;1w-1H;E-3a-13C;E-3a-1H;E-3b-13C;E-3b-1H;E-3c-13C;E-3c-1H;E-3d-13C;E-3d-1H;E-3e-13C;E-3e-1H;E-3f-13C;E-3f-1H;E-3g-13C;E-3g-1H;E-3h-13C;E-3h-1H;E-</t>
  </si>
  <si>
    <t>3i-</t>
  </si>
  <si>
    <t>;E-3i-1H</t>
  </si>
  <si>
    <t>;E-3j-1</t>
  </si>
  <si>
    <t>3C;</t>
  </si>
  <si>
    <t>E-</t>
  </si>
  <si>
    <t>3j</t>
  </si>
  <si>
    <t>-1H;E</t>
  </si>
  <si>
    <t>-3k-1</t>
  </si>
  <si>
    <t>E-3k</t>
  </si>
  <si>
    <t>-1H;E-3l-13</t>
  </si>
  <si>
    <t>C;E-3l-1H;E</t>
  </si>
  <si>
    <t>-3m'-13C;E-3m'</t>
  </si>
  <si>
    <t>-1H;E-</t>
  </si>
  <si>
    <t>3m-13C</t>
  </si>
  <si>
    <t>;E-3m-1H;E-3n-1</t>
  </si>
  <si>
    <t>3C;E</t>
  </si>
  <si>
    <t>-3n</t>
  </si>
  <si>
    <t>-1H;E-3o-13C;E</t>
  </si>
  <si>
    <t>-3o-1H;E-3p-13C;E-3p-1H;E-3q-13C;E-3q-1H;E-3u-13C;E-3u-1H;E-3v-13C;E-3v-1H;E-3x-13C;E-3x-1H;EZ-3a-13C;EZ-3a-1H;EZ-3b-13C;EZ-3b-1H;EZ-3c-13C;EZ-3c-1H;EZ-3d-13C;EZ-3d-1H;EZ-3e-13C;EZ-3e-1H;EZ-3f-13C;EZ-3f-1H;EZ-3g-13C;EZ-3g-1H;EZ-3h-13C;EZ-3h-1H;EZ-3i-13C;E</t>
  </si>
  <si>
    <t>1d-C-cjz-01-03-C-20221.fid;1d-H-cjz-01-03-H-250221.fid;1e-C-lgx-13-10-3-C-250221.fid;1e-H-lgx-13-10-3-H-250221.fid;3a;lgx-12-muchan-H.fid;lgx-12-42-1-C.fid;lgx-12-42-1-F.fid;lgx-12-42-1-H.fid;lgx-12-42-2-C.fid;lgx-12-42-2-H.fid;lgx-12-42-3-C.fid;lgx-12-42-3-H.fid;lgx-12-42-4-C.fid;lgx-12-42-4-H.fid;lgx-12-42-5-C.fid;lgx-12-42-5-H.fid;lgx-12-43-1-C.fid;lgx-13-22-1-H.fid;3h;lgx-12-44-5-F.fid;lgx-12-44-5-H.fid;lgx-12-44-3-C</t>
  </si>
  <si>
    <t>d;l</t>
  </si>
  <si>
    <t>gx-12-44</t>
  </si>
  <si>
    <t>gx</t>
  </si>
  <si>
    <t>2-44-</t>
  </si>
  <si>
    <t>4-C.f</t>
  </si>
  <si>
    <t>lgx-</t>
  </si>
  <si>
    <t>12-44-4-H.f</t>
  </si>
  <si>
    <t>id;lgx-12-4</t>
  </si>
  <si>
    <t>7-2-C.fid;lgx-</t>
  </si>
  <si>
    <t>12-47-</t>
  </si>
  <si>
    <t>2-H.fi</t>
  </si>
  <si>
    <t>d;lgx-12-47-1-3</t>
  </si>
  <si>
    <t>lgx-12-47-1-C-</t>
  </si>
  <si>
    <t>2.fid;3n;lgx-14-17-1-H-Me.fid;lgx-12-47-4-H-250421.fid;3o;3p;lgx-12-101-C-paban.fid;lgx-12-101-H-paban.fid;3r;lgx-12-93-1.fid;3s;lgx-13-22-2-H.fid;lgx-12-47-6-C.fid;lgx-12-47-6-H.fid;3u;lgx-12-41-F-250415.fid;lgx-12-41-H-250415.fid;lgx-12-92-4-C-2.fid;lgx-12-92-4-H-2-250116.fid;3w;lgx-12-83-1-1-C-3.fid;lgx-12-84-1.fid;lgx-12-83-2-C.fid;lgx-12-83-2-H-3.fid;lgx-13-50-C-250318.fid;lgx-13-50-H-250318.fid;lgx-13-23-2-C.fid;lgx-13-23-2-H.fid;lgx-13-23-1-C.fid;lgx-13-25-1-H-2.fid;lgx-12-96-2-C.fid;lgx-12-96-2-H.fid;lgx-13-88-1-C.fid;lgx-13-88-1-F.fid;lgx-13-88-1-H.fid;lgx-13-59-3-C.fid;lgx-13-59-3-H-250528.fid;lgx-13-55-1-C-250402-54quan.fid;lgx-13-55-1-H-250402-2.fid;lgx-14-03-1-C.fid;lgx-14-06-H.fid;6b;6c;6d;lgx-14-18-3-H.fid;6e;6f;6g;lgx-14-13-3-F.fid;lgx-14-13-3-H.fid;6h;lgx-14-21-2-C-250622-40quan.fid;lgx-14-21-2-H-250622.fid;6j;lgx-14-55-H.fid;6k;6l;6m;lgx-14-20-4-1-H-250621.fid;lgx-13-85-1-H.fid;lgx-13-87-1-2-C-250619.fid;lgx-13-39-C-250225-128quan.fid;lgx-13-39-H-250217.fid;lgx-13-86-C.fid;lgx-13-86-H-250619.fid;2021611-lgy-14-94</t>
  </si>
  <si>
    <t>2a;2b;2c;2d;2e;2f;2g;2h;2i;2j;2k;2l;2m;2n;2o;2p;2q;2r;2s;2t;2u;2v;2w;2x;2y;2z;3aa;3ab;3ac;3ad;3ae;3af;3ag;3ah;3ba;3ca;3da;3ga;5;6;Rel-(1R,4R,7S)-7;Rel-(1S,4R,7R)-7;cis- 3al;cis-3ai;cis-3aj;cis-3ak;cis-3am;cis-3an;cis-3ao;cis-3ap;cis-3aq;cis-3ar;cis-3at;cis-3au;cis-3av;cis-3ax;cis-3ea;cis-3fa;trans-3ai;trans-3aj;trans-3ak;trans-3al;trans-3am;trans-3an;trans-3ao;trans-3ap;trans-3aq;trans-3ar;trans-3as;trans-3au;trans-3av;t</t>
  </si>
  <si>
    <t>ran</t>
  </si>
  <si>
    <t>s-3</t>
  </si>
  <si>
    <t>aw;trans</t>
  </si>
  <si>
    <t>-3ax;tr</t>
  </si>
  <si>
    <t>ay</t>
  </si>
  <si>
    <t>;tran</t>
  </si>
  <si>
    <t>s-3az</t>
  </si>
  <si>
    <t>;tr</t>
  </si>
  <si>
    <t>ans-</t>
  </si>
  <si>
    <t>3ea;trans-3</t>
  </si>
  <si>
    <t>fa;trans-4a</t>
  </si>
  <si>
    <t>A+cis-4aA;tran</t>
  </si>
  <si>
    <t>s-4aB+</t>
  </si>
  <si>
    <t>cis-4a</t>
  </si>
  <si>
    <t>B;trans-4aC+cis</t>
  </si>
  <si>
    <t>-4aC</t>
  </si>
  <si>
    <t>ans-4aC;trans-</t>
  </si>
  <si>
    <t>4aD+cis-4aD</t>
  </si>
  <si>
    <t>NMR FID files 3aa-3ca; NMR FID files 3cb-3fa; NMR FID files 3ga-3ha; NMR FID files 3hb-3ja; NMR FID files 3ka-3la</t>
  </si>
  <si>
    <t>1; 2; 3; 4; 5; 6; 7; 8; 9</t>
  </si>
  <si>
    <t>13C  4,7-Dibromobenzo[1,2,3]thiadiazole (2Br);13C  4,7-Diiodobenzo[1,2,3]thiadiazole (2);13C  4,7-Diiodobenzo[2,1,3]thiadiazole (5I);CARBON_01.fid;13C  Qbtd;13C  Qibtd;13C  Qibtd2;13C  Qibtd3;13C  Qibtd4;13C  Qibtd5;1H  4,7-Dibromobenzo[1,2,3]thiadiazole (2Br);1H  4,7-Diiodobenzo[1,2,3]thiadiazole (2);PROTON_01.fid;1H  4,7-Diiodobenzo[2,1,3]thiadiazole (5I);1H  Qbtd;1H  Qibtd;1H  Qibtd2;1H  Qibtd3;1H  Qibtd4;1H  Qibtd5</t>
  </si>
  <si>
    <t>jo5c02497</t>
  </si>
  <si>
    <t>3a;3aa;3b;3c;3d;3e;3f;3g;3h;3i;3j;3l;3m;3n;3o;4a;4b;4c;4d;4f;4g;4h;4i;4j;4k;4l;4m;4n;4o;4p;4q;4r;5a;6a;Iridacycle-1a;KIE (3d+deuterio-3d);Ruthenacycle-1a;deuterio-1C;deuterio-3C</t>
  </si>
  <si>
    <t>aa;ab;ac;ad;ae;af;ag;ah;ai;aj;ak;al;am;an;ao;ap;aq;ar;as;ba;ca;da;dt;ea;fa;ga;ha;ia;ja;ka;la;ma;na;oa;pa;qa;qt;ra;sa</t>
  </si>
  <si>
    <t>3a (R1=Ph, R2=cinnamyl, R3=H, PG=TBS);3b (R1=H, R2=cinnamyl, R3=H, PG=TBS);3c (R1=Ph, R2=cinnamyl, R3=H, PG=TMS);3d (R1=Ph, R2=cinnamyl, R3=H, PG=TBPS);3e (R1=Ph, R2=cinnamyl, R3=H, PG=Bz);3f (R1=Ph, R2=cinnamyl, R3=H, PG=cinnamyl);3g (R1=Ph, R2=naphacrylate, R3=H, PG=TBS);3h (R1=Ph, R2=pMe-cinnamyl, R3=H, PG=TBS);3j (R1=Ph, R2=pCF3-cinnamyl, R3=H, PG=TBS);3l (R1=Ph, R2=pF-cinnamyl, R3=H, PG=TBS);3m (R1=Ph, R2=pCl-cinnam</t>
  </si>
  <si>
    <t>yl,</t>
  </si>
  <si>
    <t>R3</t>
  </si>
  <si>
    <t>BS);3n</t>
  </si>
  <si>
    <t>(R1</t>
  </si>
  <si>
    <t>h,</t>
  </si>
  <si>
    <t>R2=p</t>
  </si>
  <si>
    <t>Br-ci</t>
  </si>
  <si>
    <t>myl,</t>
  </si>
  <si>
    <t>R3=H, PG=T</t>
  </si>
  <si>
    <t>BS);3o (R1=</t>
  </si>
  <si>
    <t>Ph, R2=mCl-cin</t>
  </si>
  <si>
    <t>namyl,</t>
  </si>
  <si>
    <t>PG=TBS);3p (R1</t>
  </si>
  <si>
    <t>=Ph,</t>
  </si>
  <si>
    <t>R2</t>
  </si>
  <si>
    <t>=oCl-cinnamyl,</t>
  </si>
  <si>
    <t>R3=H, PG=TBS);3q (R1=Ph, R2=mBr-cinnamyl, R3=H, PG=TBS);3r (R1=Ph, R2=oBr-cinnamyl, R3=H, PG=TBS);3s (R1=Ph, R2=furacrylate, R3=H, PG=TBS;3t (R1=Ph, R2=thiophacrylate, R3=H, PG=TBS);3u (R1=Ph, R2=fumarate, R3=H, PG=TBS);4i (R1=Ph, R2=pOMe-cinnamyl, R3=Ac, PG=TBS);4k (R1=Ph, R2=pNO2-cinnamyl, R3=Ac, PG=TBS);5b (R1=Ph, R2=phenoxybenzoate, R3=H, PG=TBS);11 (R1=Ph, R2=allyl, R3=H, PG=TBS);4a (R1=Ph, R2=cinnamyl, R3=Boc, PG=TBS);6 (R1=Ph, R2=cinnamyl, R3=Boc, PG=TBS);7 (R1=Ph, R2=cinnamyl, R3=PSI, PG=TBS);1a (R1=Ph, noPG);1b (R1=H, noPG);1c (R1=Ph, PG=TBS);1d (R1=H, PG=TBS);1e (R1=Ph, PG=TMS);1f (R1=Ph, PG=TBDPS);1g (R1=Ph, PG=Bz)</t>
  </si>
  <si>
    <t>3a-5;3a-6;3a;3aa;3b;3ba;3c;3ca;3d;3da;3e;3f;3g;3h;3i;3j;3k;3l;3m;3n;3o;3p;3q;3r;3s;3t;3u;3v;3w;3x;3y;3z;4a;4b;4c;4d;4e;4f;5a;6a;7a</t>
  </si>
  <si>
    <t>3a;3aa;3ab;3b;3c;3d;3e;3f;3g;3h;3i;3j;3k;3l;3m;3n;3o;3p;3q;3r;3s;3t;3u;3v;3w;3x;3y;3z;5;7;9;F</t>
  </si>
  <si>
    <t>1aa;1ab;1ac;1ad;1ae;1af;1ag;1ai;1c;1d;1e;1f;1g;1h;1n;1p;1r;1s;1t;1u;1v;1w;1x;1y;1z;4a;4aa;4ab;4ac;4ad;4ae;4af;4ag;4ah;4ai;4aj;4b;4c;4d;4e;4f;4g;4h;4i;4j;4k;4l;4m;4n;4o;4p;4q;4r;4s;4t;4u;4v;4w;4x;4y;4z;5</t>
  </si>
  <si>
    <t>10_Carbon;10_Proton;12_Carbon;12_Proton;13_Carbon;13_Fluorine;13_Proton;15_Carbon;15_Fluorine;15_Proton;17.Proton;17_Carbon;17_Fluorine;5a_Carbon;5a_Fluorine;5a_Proton;5b_Carbon;5b_Fluorine;5b_Proton;7_Carbon;7_Proton;9_Carbon;9_Proton</t>
  </si>
  <si>
    <t>3J;3a;3b;3c;3d;3e;3f;3g;3h;3i;3k;3l;3m;3n;3o;3p;3q;3r;3s;3t;3u;3v;3w;5a;5b;5c;5d;5e;5f;5g;5h;5i;5j;5k;5l;5m;5n;5o;6;7</t>
  </si>
  <si>
    <t>10a_PROTON_01;11a_PROTON_01;12a_PROTON_01;13a_PROTON_01;14a_PROTON_01;15a_PROTON_01;16a_PROTON_02;17a_PROTON_01;18a_PROTON_01;19aR_PROTON_01;19a_PROTON_01;20a_PROTON_01;21a_PROTON_01;22a_PROTON_01;23a_PROTON_01;24aR_PROTON_01;24a_PROTON_01;25a_PROTON_01;26aR_PROTON_01;26a_PROTON_01;27a_PROTON_01;28a_PROTON_01;29a_PROTON_01;2a_PROTON_01;2b_PROTON_01;2cR_PROTON_01;2c_PROTON_01;2d_PROTON_01;2e_PROTON_01;2f_PROTON_01;2g_PROT</t>
  </si>
  <si>
    <t>01;</t>
  </si>
  <si>
    <t>2h_PROTO</t>
  </si>
  <si>
    <t>N_01;2i</t>
  </si>
  <si>
    <t>OT</t>
  </si>
  <si>
    <t>ON</t>
  </si>
  <si>
    <t>_01;2</t>
  </si>
  <si>
    <t>j_PRO</t>
  </si>
  <si>
    <t>_01;</t>
  </si>
  <si>
    <t>2k_PROTON_0</t>
  </si>
  <si>
    <t>1;2l_PROTON</t>
  </si>
  <si>
    <t>_01;2n_PROTON_</t>
  </si>
  <si>
    <t>01;30a</t>
  </si>
  <si>
    <t>_PROTO</t>
  </si>
  <si>
    <t>N_01;30b_PROTON</t>
  </si>
  <si>
    <t>30c</t>
  </si>
  <si>
    <t>_PROTON_01;30d</t>
  </si>
  <si>
    <t>_PROTON_01;30e_PROTON_01;30f_PROTON_01;30g_PROTON_01;30i_PROTON_01;30j_PROTON_01;30k_PROTON_01;30l_PROTON_01;31a_PROTON_01;31c_PROTON_01;31dR_PROTON_01;31d_PROTON_01;31gR_PROTON_01;31g_PROTON_01;31i_PROTON_01;31j_PROTON_01;31k_PROTON_01;32a_PROTON_01;33a_PROTON_01;34a_PROTON_01;35a_PROTON_01;36a_PROTON_01;37a_PROTON_01;37e_PROTON_01;37f_PROTON_01;3a_PROTON_01;4a_PROTON_01;5a_PROTON_01;6a_PROTON_01;7a_PROTON_01;8a_PROTON_01;9a_PROTON_01;10a_CARBON_01;11a_CARBON_01;12a_CARBON_01;13a_CARBON_01;14a_CARBON_01;15a_CARBON_01;16a_CARBON_01;17a_CARBON_01;18a_CARBON_01;19aR_CARBON_01;19a_CARBON_01;20a_CARBON_01;21a_CARBON_01;22a_CARBON_01;23a_CARBON_01;24aR_CARBON_01;24a_CARBON_01;25a_CARBON_01;26aR_CARBON_01;26a_CARBON_01;27a_CARBON_01;28a_CARBON_01;29a_CARBON_01;2a_CARBON_01;2b_CARBON_01;2cR_CARBON_01;2c_CARBON_01;2d_CARBON_01;2e_CARBON_01;2f_CARBON_01;2g_CARBON_01;2h_CARBON_01;2i_CARBON_01;2j_CARBON_02;2k_CARBON_01;2l_CARBON_01;2n_CARBON_01;30a_CARBON_01;30b_CARBON_01;30c_CARBON_01;30d_CARBON_01;30e_CARBON_01;30f_CARBON_01;30g_CARBON_01;30i_CARBON_01;30j_CARBON_01;30k_CARBON_01;30l_CARBON_01;31a_CARBON_01;31c_CARBON_01;31dR_CARBON_01;31d_CARBON_01;31gR_CARBON_01;31g_CARBON_01;31i_CARBON_01;31j_CARBON_01;31k_CARBON_01;32a_CARBON_01;33a_CARBON_01;34a_CARBON_01;35a_CARBON_01;36a_CARBON_01;37a_CARBON_01;37e_CARBON_01;37f_CARBON_01;3a_CARBON_01;4a_CARBON_01;5a_CARBON_01;6a_CARBON_01;7a_CARBON_01;8a_CARBON_01;9a_CARBON_01;10a_APT_01;11a_APT_01;12a_APT_01;13a_APT_01;14a_APT_01;15a_APT_01;16a_APT_01;17a_APT_01;18a_APT_01;19aR_APT_01;19a_APT_01;20a_APT_01;21a_APT_01;22a_APT_01;23a_APT_01;24aR_APT_01;24a_APT_01;25a_APT_01;26aR_APT_01;26a_APT_01;27a_APT_01;28a_APT_01;29a_APT_01;2a_APT_01;2b_APT_01;2cR_APT_01;2c_APT_01;2d_APT_01;2e_APT_01;2f_APT_01;2g_APT_01;2h_APT_01;2i_APT_01;2j_APT_02;2k_APT_01;2l_APT_01;2n_APT_01;30a_APT_01;30b_APT_01;30c_APT_01;30d_APT_01;30e_APT_01;30f_APT_01;30g_APT_01;30i_APT_01;30j_APT_01;30k_APT_01;30l_APT_01;31a_APT_01;31c_APT_01;31dR_APT_01;31d_APT_01;31gR_APT_01;31g_APT_01;31i_APT_01;31j_APT_01;31k_APT_01;32a_APT_01;33a_APT_01;34a_APT_01;35a_APT_01;36a_APT_01;37a_APT_01;37e_APT_01;37f_APT_01;3a_APT_01;4a_APT_01;5a_APT_01;6a_APT_01;7a_APT_01;8a_APT_01;9a_APT_01</t>
  </si>
  <si>
    <t>3a;5a;5b;5c;5d;5e;5f;5g;5h;5i;5j;5k;5l;5m;5n;5o;5p;5q;5r;5s;5t;5u;5v;5w;6a;6b;6c;6d;7a;7b;7c_first diastereomer;7c_second diastereomer;7d;7e;9a;9b</t>
  </si>
  <si>
    <t>-3C;-H;0-3C;0-H;2-3C;2-H;3-3C;3-H;4-3C;4-H;5-3C;5-H;6-3C;6-H;7-3C;7-H;8-3C;8-H;9-3C;9-H;20-3C;20-H</t>
  </si>
  <si>
    <t>dataset;VAE_20;VAE_40;VAE_60;VAE_80;aug20;aug20_gan20;aug20_gan40;aug20_gan60;aug20xgan20;aug20xgan40;aug20xgan60;aug30;aug50;aug50_gan20;aug50_gan40;aug50_gan60;aug50xgan20;aug50xgan40;aug50xgan60;aug74+VAE40;aug74+VAE60;aug74;aug74_gan20;aug74_gan40;aug74_gan60;aug74thenVAE40;aug74thenVAE60;aug74xgan20;aug74xgan40;aug74xgan60;gan20;gan40;gan60;gan80;original;scaffold_splitting;wo_sterimol;origin_fitting.zip__;sterimol.</t>
  </si>
  <si>
    <t>zip</t>
  </si>
  <si>
    <t>__</t>
  </si>
  <si>
    <t>README.txt;MEP_2i_trj;MEP_2k_trj;TS-2i-min;TS-4i-min;enedione-min;hydroquinone-min;protonated-enedione-min;protonated-hydroquinone-min;protonated-quinol-min;quinol-min;MEP_4i_trj;MEP_4k_trj;TS-2k-min;TS-4k-min;table1-1a;table1-1b</t>
  </si>
  <si>
    <t>2Ni0;3Ni-1;3Ni-2;3Ni-3;3Ni-4;3Ni-5</t>
  </si>
  <si>
    <t>-3C;-H;0-3C;0-9F;0-H;2-3C;2-H;3-3C;3-H;4-3C;4-H;5-3C;5-H;6-3C;6-H;7-3C;7-H;8-3C;8-H;9-3C;9-H;20-3C;20-H;22-H;22-C-3C</t>
  </si>
  <si>
    <t>10;11;12;13;18;19;1u;1ze;1zf;1zh;2b-d2;2k;2z;3a;3b-d2;3b;3c;3d;3e;3f;3g;3h;3i;3j;3k;3l;3m;3n;3o;3p;3s;3t;3u;3v;3w;3x;3y;3z;3za;3zb;3zc;3zd;3ze;3zf;3zg;3zh;4a-q;4r;4t-zb;4zc;5a;5b;5c;5d;5e;5f;5g;5h;5i;5j;5k;5l;5m;5n;5o;5p;5q;5r;5s;5t;5u;5v;5w;5x;5y;5z;5za;5zb;5zc;5zd;6a;6b;6c;6d;6e;6f;6g;6h;6i;6j;6k;6l;6m;6n;6o;6p;6q;6r;6s;6t;6u;6v;7;8;9;Competitive C-C vs C=C K2CO3-Crude-1H;Competitive C-C vs C=C KOH-Crude-1H;Competitive</t>
  </si>
  <si>
    <t>Cr</t>
  </si>
  <si>
    <t>ude</t>
  </si>
  <si>
    <t>K2CO3-1</t>
  </si>
  <si>
    <t>H;Compe</t>
  </si>
  <si>
    <t>tit</t>
  </si>
  <si>
    <t>iv</t>
  </si>
  <si>
    <t>e</t>
  </si>
  <si>
    <t>KOH-</t>
  </si>
  <si>
    <t>F1;F</t>
  </si>
  <si>
    <t>2;F3;F4;F5;</t>
  </si>
  <si>
    <t>F6;L1-NHOH-</t>
  </si>
  <si>
    <t>NNO-Lig NMR;L2</t>
  </si>
  <si>
    <t>NO-Lig</t>
  </si>
  <si>
    <t>NMR;L3-OME-NNO</t>
  </si>
  <si>
    <t>R;L4-QUIN-NHOH</t>
  </si>
  <si>
    <t>1_triflates;R3147021.fid;R3806981.fid;R4500672.fid;R3853890.fid;R3888953.fid;R4155545.fid;R4497442.fid;R4497442_C13.fid;R4492711.fid;R4492711_C13.fid;R4497412.fid;R4497412_C13.fid;R4046391.fid;R4497402.fid;R4497402_C13.fid;R4127512.fid;R4094364.fid;R350067.fid;R3740420.fid;R4497372.fid;R4497372_C13.fid;R4496339.fid;R4496339_C13.fid;R1405704.fid;R1405704_C13.fid;R1405704_P31_H1.fid;R3821286.fid;comp05b_1324-938_cdcl3;R382</t>
  </si>
  <si>
    <t>6_P</t>
  </si>
  <si>
    <t>31_H1.fi</t>
  </si>
  <si>
    <t>d;R4343</t>
  </si>
  <si>
    <t>;comp</t>
  </si>
  <si>
    <t>06b_1</t>
  </si>
  <si>
    <t>_cdcl3;R434</t>
  </si>
  <si>
    <t>3270_P31_H1</t>
  </si>
  <si>
    <t>.fid;R3880799.</t>
  </si>
  <si>
    <t>fid;co</t>
  </si>
  <si>
    <t>mp07b_</t>
  </si>
  <si>
    <t>1324-939_cdcl3;</t>
  </si>
  <si>
    <t>R388</t>
  </si>
  <si>
    <t>9_P31_H1.fid;R</t>
  </si>
  <si>
    <t>3896367.fid;comp08b_1364-378_cdcl3;R3896367_P31_H1.fid;R4428406.fid;comp09b_1464-619_cdcl3;R4428406_P31_H1.fid;R4385785.fid;R4385785_P31_H1.fid;comp10b_1464-618_cdcl3;R4370937.fid;comp11b_0925-744_cdcl3;R4370937_P31_H1.fid;R4167672.fid;comp12b_0855-470_cdcl3;R4167672_P31_H1.fid;R4065618.fid;comp13b_1434-191_cdcl3;R4065618_P31_H1.fid;R4368748.fid;comp14b_0915-470_cdcl3;R4368748_P31_H1.fid;R4409637.fid;comp15b_0915-467_cdcl3;R4409637_P31_H1.fid;R3947105.fid;comp16b_0715-850_cdcl3;R3947105_P31_H1.fid;R3707549.fid;comp17b_0675-581_cdcl3;R3707549_P31_H1.fid;R3803627.fid;comp18b_1314-606_cdcl3;R3803627_P31_H1.fid;R4434295.fid;comp19b_0855-474_cdcl3;R4434295_P31_H1.fid;R4285946.fid;comp20b_1554-782_dmso;R4285946_P31_H1.fid;R4480780.fid;R4480780_C13.fid;R4480780_P31_H1.fid;R3796803.fid;comp22b_0845-813_cdcl3;R3796803_P31_H1.fid;R4409681.fid;comp23b_0905-921_cdcl3;R4409681_P31_H1.fid;R4242141.fid;comp24b_0935-560_cdcl3;R4242141_P31_H1.fid;R4245865.fid;comp26b_0965-559_dmso;R4245865_P31_H1.fid;R3724893.fid;comp01c-int1_1084-030_dmso;R3724893_P31_H1.fid;R3738928.fid;comp01c_2633-464_dmso;R3738928_P31_H1.fid;H4924724.fid;H4924724_C13.fid;H4924724_P31_H1.fid;R3813403.fid;comp17c_3123-959_cdcl3;R3813403_P31_H1.fid;H5169534.fid;H5169534_C13.fid;H5169534_P31_H1.fid;R3884278.fid;comp18c-int2_1314-607_cdcl3;R3884278_P31_H1.fid;R3869130.fid;comp18c_3043-489_cdcl3;R3869130_P31_H1.fid;R3889476.fid;comp18m_1422-496_dmso;R3889476_P31_H1.fid;R3985894.fid;comp22c-int1_0865-785_cdcl3;R3985894_P31.fid;R4058471.fid;comp22c_3113-596_dmso;R4058471_P31_H1.fid;R3992272.fid;comp22d_0875-598_cdcl3;R3992272_P31_H1.fid;R4037189.fid;comp22e_0885-288_dmso;R4037189_P31_H1.fid;H5481693.fid;H5481693_C13.fid;H5481693_P31;R3892110.fid;comp22g_1364-907_cdcl3;R3892110_P31_H1.fid;H5377650.fid;H5377650_C13.fid;comp22i_0875-584_dmso;H5377650_P31.fid;R3901541.fid;comp22j_0875-600_cdcl3;R3901541_P31_H1.fid;H5310482.fid;H5310482_C13.fid;H5310482_P31_H1.fid;R3970657.fid;comp22l_0875-597_cdcl3;R3970657_P31_H1.fid;H5310378.fid;H5310378_C13.fid;H5310378_P31_H1.fid;H5310485.fid;H5310485_C13.fid;H5310485_F19.fid;H5310485_P31.fid;BE000525s3.fid;H5310487_C13.fid;compNN-22h_0875-583_dmso;H5310487_P31.fid;H5404593.fid;H5404593_C13.fid;H5404593_P31.fid;H5172449.fid;H5172449_C13.fid;H5172449_P31_H1.fid;H5400879.fid;H5400879_C13.fid;H5400879_P31_H1.fid</t>
  </si>
  <si>
    <t>10; 11; 12; 13; 14; 15; 16; 17; 18; 19; 20; 21; 22; 23; 24; 25; 26; 3; 32; 4; 5; 6; 7; S2</t>
  </si>
  <si>
    <t>Mapping_predicted_Zn_ion;Model1_mixing_ratio_predictions;Model2_zinc_ion_contents_prediction;utils.py</t>
  </si>
  <si>
    <t>11aa_(TJ-316-13C);11aa_(TJ-316-1H);11ba_(TJ-325-13C);11ba_(TJ-325-1H);11ma_(TJ-319-13C);11ma_(TJ-319-1H);11pa_(TJ-326-13C);11pa_(TJ-326-1H);12_(TJ-243-13C);12_(TJ-243-1H);13_(TJ-287-13C);13_(TJ-287-1H);14_(TJ-266-13C);14_(TJ-266-1H);15_(TJ-260-13C);15_(TJ-260-1H);3aa_(TJ-94-13C);3aa_(TJ-94-1H);3ab_(TJ-158-13C);3ab_(TJ-158-1H);3ac_(TJ-162-13C);3ac_(TJ-162-1H);3ba_(TJ-118-13C);3ba_(TJ-118-1H);3bb_(TJ-163-13C);3bb_(TJ-163-1</t>
  </si>
  <si>
    <t>H);</t>
  </si>
  <si>
    <t>3bc</t>
  </si>
  <si>
    <t>_(TJ-164</t>
  </si>
  <si>
    <t>-13C);3</t>
  </si>
  <si>
    <t>bc_</t>
  </si>
  <si>
    <t>(T</t>
  </si>
  <si>
    <t>J-</t>
  </si>
  <si>
    <t>164-1</t>
  </si>
  <si>
    <t>H);3c</t>
  </si>
  <si>
    <t>TJ-1</t>
  </si>
  <si>
    <t>76-13C);3ca</t>
  </si>
  <si>
    <t>_(TJ-176-1H</t>
  </si>
  <si>
    <t>);3cb_(TJ-177-</t>
  </si>
  <si>
    <t>13C);3</t>
  </si>
  <si>
    <t>cb_(TJ</t>
  </si>
  <si>
    <t>-177-1H);3cc_(T</t>
  </si>
  <si>
    <t>J-18</t>
  </si>
  <si>
    <t>3C);3cc_(TJ-18</t>
  </si>
  <si>
    <t>1-1H);3da_(TJ-157-13C);3da_(TJ-157-1H);3ea_(TJ-132-13C);3ea_(TJ-132-1H);3fa_(TJ-153-13C);3fa_(TJ-153-1H);3ga_(TJ-152-13C);3ga_(TJ-152-1H);3ha_(TJ-155-13C);3ha_(TJ-155-1H);3ia_(TJ-156-13C);3ia_(TJ-156-1H);3ja_(TJ-223-13C);3ja_(TJ-223-1H);3k'a_(TJ-174-13C);3k'a_(TJ-174-1H);3ka_(TJ-174-13C);3ka_(TJ-174-1H);3la_(TJ-171-13C);3la_(TJ-171-1H);3ma_(TJ-186-13C);3ma_(TJ-186-1H);3mb_(TJ-187-13C);3mb_(TJ-187-1H);3mc_(TJ-190-13C);3mc_(TJ-190-1H);3na_(TJ-317-13C);3na_(TJ-317-1H);3oa_(TJ-391-13C);3oa_(TJ-391-1H);3pa_(TJ-201-13C);3pa_(TJ-201-1H);3qa_(TJ-208-13C);3qa_(TJ-208-1H);3ra_(TJ-206-13C);3ra_(TJ-206-1H);3sa_(TJ-209-13C);3sa_(TJ-209-1H);5aa_(TJ-135-13C);5aa_(TJ-135-1H);5ab_(TJ-165-13C);5ab_(TJ-165-1H);5ba_(TJ-138-13C);5ba_(TJ-138-1H);5la_(TJ-238-13C);5la_(TJ-238-1H);5ma_(TJ-249-13C);5ma_(TJ-249-1H);5pa_(TJ-254-13C);5pa_(TJ-254-1H);7aa_(TJ-136-13C);7aa_(TJ-136-1H);7ab_(TJ-242-13C);7ab_(TJ-242-1H);7ac_(TJ-381-13C);7ac_(TJ-381-1H);7ba_(TJ-227-13C);7ba_(TJ-227-1H);7ma_(TJ-228-13C);7ma_(TJ-228-1H);7pa_(TJ-256-13C);7pa_(TJ-256-1H);9aa_(TJ-219-13C);9aa_(TJ-219-1H);9ab_(TJ-250-13C);9ab_(TJ-250-1H);9ba_(TJ-226-13C);9ba_(TJ-226-1H);9ma_(TJ-225-13C);9ma_(TJ-225-1H);9pa_(TJ-257-13C);9pa_(TJ-257-1H)</t>
  </si>
  <si>
    <t>2_NMR-opt.pdb; 4_NMR-opt.pdb; 8_NMR-opt.pdb; 9_NMR-opt.pdb</t>
  </si>
  <si>
    <t>benzoyl-radical;cyclobutyl-alkene;cyclobutyl-product-radical;cyclobutyl-ts;dimethyl-alkene;dimethyl-product-radical;dimethyl-ts</t>
  </si>
  <si>
    <t>10 (13C); 11 (13C); 12 (13C); 13 (13C); 14 (13C); 15 (13C); 16 (13C); 17 (13C); 18 (13C); 19 (13C); 20 (13C); 21 (13C); 22 (13C); 23 (13C); 24 (13C); 25 (13C); 26 (13C); 27 (13C); 28 (13C); 29 (13C); 3 (13C); 30 (13C); 31 (13C); 32 (13C); 33 (13C); 34 (13C); 35 (13C); 36 (13C); 37 (13C); 38 (13C); 39 (13C); 4 (13C); 40 (13C); 41 (13C); 42 (13C); 43 (13C); 44 (13C); 45 (13C); 46 (13C); 47 (13C); 48 (13C); 49 (13C); 5 (13</t>
  </si>
  <si>
    <t>C);</t>
  </si>
  <si>
    <t>(13C);</t>
  </si>
  <si>
    <t>52 (13C</t>
  </si>
  <si>
    <t>(</t>
  </si>
  <si>
    <t>13C);</t>
  </si>
  <si>
    <t>54 (</t>
  </si>
  <si>
    <t>); 5</t>
  </si>
  <si>
    <t>5 (13C); 56</t>
  </si>
  <si>
    <t>(13C); 57</t>
  </si>
  <si>
    <t>(13C); 58 (13C</t>
  </si>
  <si>
    <t>); 59</t>
  </si>
  <si>
    <t>6 (13C); 60 (1</t>
  </si>
  <si>
    <t>3C);</t>
  </si>
  <si>
    <t>(13C); 63 (13</t>
  </si>
  <si>
    <t>C); 7 (13C); 8 (13C); 9 (13C); 10 (1H); 11 (1H); 12 (1H); 13 (1H); 14 (1H); 15 (1H); 16 (1H); 17 (1H); 18 (1H); 19 (1H); 20 (1H); 21 (1H); 22 (1H); 23 (1H); 24 (1H); 25 (1H); 26 (1H); 27 (1H); 28 (1H); 29 (1H); 3 (1H); 30 (1H); 31 (1H); 32 (1H); 33 (1H); 34 (1H); 35 (1H); 36 (1H); 37 (1H); 38 (1H); 39 (1H); 4 (1H); 40 (1H); 41 (1H); 42 (1H); 43 (1H); 44 (1H); 45 (1H); 46 (1H); 47 (1H); 48 (1H); 49 (1H); 5 (1H); 50 (1H); 51 (1H); 52 (1H); 53 (1H); 54 (1H); 55 (1H); 56 (1H); 57 (1H); 58 (1H); 59 (1H); 6 (1H); 60 (1H); 61a (1H); 61b (1H); 62 (1H); 63 (1H); 7 (1H); 8 (1H); 9 (1H); 58 (2D)-20250620T065802Z-1-001.zip__</t>
  </si>
  <si>
    <t>6a-CRI.fchk;6a-CRI.log;6b-CRI.fchk;6b-CRI.log;6c-CRI.fchk;6c-CRI.log;6d-CRI.fchk;6d-CRI.log;6e-CRI.fchk;6e-CRI.log;6f-CRI.fchk;6f-CRI.log;6g-CRI.fchk;6g-CRI.log;6h-CRI.fchk;6h-CRI.log;6i-CRI.fchk;6i-CRI.log;6j-CRI.fchk;6j-CRI.log;6k-CRI.fchk;6k-CRI.log;6l-CRI.fchk;6l-CRI.log;6m-CRI.fchk;6m-CRI.log;6n-CRI.fchk;6n-CRI.log;6o-CRI.fchk;6o-CRI.log;6p-CRI.fchk;6p-CRI.log;6a-ORI.fchk;6a-ORI.log;6b-ORI.fchk;6b-ORI.log;6c-ORI.fch</t>
  </si>
  <si>
    <t>c-O</t>
  </si>
  <si>
    <t>RI.log;6</t>
  </si>
  <si>
    <t>d-ORI.f</t>
  </si>
  <si>
    <t>chk</t>
  </si>
  <si>
    <t>d-</t>
  </si>
  <si>
    <t>ORI.l</t>
  </si>
  <si>
    <t>og;6e</t>
  </si>
  <si>
    <t>I.fc</t>
  </si>
  <si>
    <t>hk;6e-ORI.l</t>
  </si>
  <si>
    <t>og;6f-ORI.f</t>
  </si>
  <si>
    <t>chk;6f-ORI.log</t>
  </si>
  <si>
    <t>;6g-OR</t>
  </si>
  <si>
    <t>I.fchk</t>
  </si>
  <si>
    <t>;6g-ORI.log;6h-</t>
  </si>
  <si>
    <t>ORI.</t>
  </si>
  <si>
    <t>k;6h-ORI.log;6</t>
  </si>
  <si>
    <t>i-ORI.fchk;6i-ORI.log;6j-ORI.fchk;6j-ORI.log;6k-ORI.fchk;6k-ORI.log;6l-ORI.fchk;6l-ORI.log;6m-ORI.fchk;6m-ORI.log;6n-ORI.fchk;6n-ORI.log;6o-ORI.fchk;6o-ORI.log;6p-ORI.fchk;6p-ORI.log</t>
  </si>
  <si>
    <t>13C NMR-3aa;13C NMR-3ab;13C NMR-3ac;13C NMR-3ad;13C NMR-3ae;13C NMR-3af;13C NMR-3ag;13C NMR-3ah;13C NMR-3ai;13C NMR-3aj;13C NMR-3ak;13C NMR-3al;13C NMR-3ba;13C NMR-3ca;13C NMR-3da;13C NMR-3ea;13C NMR-3fa;13C NMR-3ga;13C NMR-3ha;13C NMR-3ia;13C NMR-3ja;13C NMR-3ka;13C NMR-3la;13C NMR-3ma;13C NMR-3na;13C NMR-3oa;13C NMR-3pa;13C NMR-3qa;13C NMR-3ra;13C NMR-3sa;13C NMR-4;13C NMR-5;13C NMR-6;13C NMR-7;19F NMR-3ia;1H NMR-3aa;1</t>
  </si>
  <si>
    <t>H N</t>
  </si>
  <si>
    <t>MR-</t>
  </si>
  <si>
    <t>3ab;1H N</t>
  </si>
  <si>
    <t>MR-3ac;</t>
  </si>
  <si>
    <t>R-</t>
  </si>
  <si>
    <t>3ad;1</t>
  </si>
  <si>
    <t>H NMR</t>
  </si>
  <si>
    <t>e;1H</t>
  </si>
  <si>
    <t>NMR-3af;1H</t>
  </si>
  <si>
    <t>NMR-3ag;1H</t>
  </si>
  <si>
    <t>NMR-3ah;1H NM</t>
  </si>
  <si>
    <t>R-3ai;</t>
  </si>
  <si>
    <t>1H NMR</t>
  </si>
  <si>
    <t>-3aj;1H NMR-3ak</t>
  </si>
  <si>
    <t>-3al;1H NMR-3b</t>
  </si>
  <si>
    <t>a;1H NMR-3ca;1H NMR-3da;1H NMR-3ea;1H NMR-3fa;1H NMR-3ga;1H NMR-3ha;1H NMR-3ia;1H NMR-3ja;1H NMR-3ka;1H NMR-3la;1H NMR-3ma;1H NMR-3na;1H NMR-3oa;1H NMR-3pa;1H NMR-3qa;1H NMR-3ra;1H NMR-3sa;1H NMR-4;1H NMR-5;1H NMR-6;1H NMR-7</t>
  </si>
  <si>
    <t>2 n;2 t;2 u;2 v;2 z; a; b; c; d; e; f; g; h; i; j; k; l; m; n; o; p; q; r; s; t; u; v; w; x; y; z;aa;ab;ac;ad;ae;af;ag;ah;ai;aj;ak;al;am;an;ao;ap</t>
  </si>
  <si>
    <t>1H NMR, 13C NMR and 19F NMR Spectra.mnova;4a-C;4a-H;4b-C;4b-H;4c-C;4c-H;4d-C;4d-H;4e-C;4e-H;4f-C;4f-H;4g-C;4g-H;4h-C;4h-H;4i-C;4i-H;4j-C;4j-F;4j-H;4k-C;4k-F;4k-H;4l-C;4l-F;4l-H;4m-C;4m-H;4n-C;4n-H;4o-C;4o-H;4p-C;4p-H;4q-C;4q-H;4r-C;4r-H;4s-C;4s-H;4t-C;4t-H;4u-C;4u-H;5a-C;5a-H;5aa-C;5aa-H;5ab-C;5ab-H;5ac-C;5ac-H;5ad-C;5ad-H;5ae-H;5b-C;5b-H;5c-C;5c-H;5d-C;5d-H;5e-C;5e-H;5f-C;5f-H;5g-C;5g-H;5h-C;5h-F;5h-H;5i-C;5i-F;5i-H;5j-</t>
  </si>
  <si>
    <t>j-F</t>
  </si>
  <si>
    <t>;5j-H;5k</t>
  </si>
  <si>
    <t>-C;5k-H</t>
  </si>
  <si>
    <t>;5l</t>
  </si>
  <si>
    <t>-C</t>
  </si>
  <si>
    <t>;5</t>
  </si>
  <si>
    <t>l-H;5</t>
  </si>
  <si>
    <t>m-F;5</t>
  </si>
  <si>
    <t>m-H</t>
  </si>
  <si>
    <t>;5n-</t>
  </si>
  <si>
    <t>C;5n-H;5o-C</t>
  </si>
  <si>
    <t>;5o-H;5p-C;</t>
  </si>
  <si>
    <t>5p-H;5q-C;5q-H</t>
  </si>
  <si>
    <t>;5r-C;</t>
  </si>
  <si>
    <t>5r-H;5</t>
  </si>
  <si>
    <t>s-C;5s-H;5t-C;5</t>
  </si>
  <si>
    <t>t-H;</t>
  </si>
  <si>
    <t>5u-</t>
  </si>
  <si>
    <t>C;5u-H;5v-C;5v</t>
  </si>
  <si>
    <t>-H;5w-C;5w-H;5x-C;5x-H;5y-C;5y-H;5z-C;5z-H;6a-C;6a-H;6b-C;6b-F;6b-H;6c-C;6c-H;6d-C;6d-H;7-C;7-H;8-C;8-H;9-C;9-H;TEMPO</t>
  </si>
  <si>
    <t>13C  compound  4a;13C  compound  4b;13C  compound  4c;13C  compound  4d;13C  compound  4e;13C  compound  4f;13C  compound  4g;13C  compound  4h;13C  compound  4i;13C  compound  4j;13C  compound  4k;13C  compound  4l;13C  compound  4m;13C  compound  4n;13C  compound  5a;13C  compound  5b;13C  compound  5c;13C  compound 3a;13C  compound 3d;13C  compound 3g;13C  compound 3h;13C  compound 3i;13C  compound 3j;13C  compound 3k</t>
  </si>
  <si>
    <t>;13</t>
  </si>
  <si>
    <t>om</t>
  </si>
  <si>
    <t>po</t>
  </si>
  <si>
    <t>und 3</t>
  </si>
  <si>
    <t>n;13C</t>
  </si>
  <si>
    <t>und 3o;1H</t>
  </si>
  <si>
    <t>compound  4</t>
  </si>
  <si>
    <t>a;1H  compound</t>
  </si>
  <si>
    <t>4b;1</t>
  </si>
  <si>
    <t>H  com</t>
  </si>
  <si>
    <t>pound  4c;1H  c</t>
  </si>
  <si>
    <t>und</t>
  </si>
  <si>
    <t>4d;1H  compo</t>
  </si>
  <si>
    <t>und  4e;1H  compound  4f;1H  compound  4g;1H  compound  4h;1H  compound  4i;1H  compound  4j;1H  compound  4k;1H  compound  4l;1H  compound  4m;1H  compound  4n;1H  compound  5a;1H  compound  5b;1H  compound  5c;1H  compound 3a;1H  compound 3d;1H  compound 3g;1H  compound 3h;1H  compound 3i;1H  compound 3j;1H  compound 3k;1H  compound 3l;1H  compound 3n;1H  compound 3o</t>
  </si>
  <si>
    <t>RC-3-D-24B-CR_CARBON_20250301_01.fid;RC-3-D-24B-CR_HSQCAD_20250301_01.fid;RC-3-D-24B-CR_PROTON_20250301_02.fid;RC-3-D-24B-CR_gHMBCAD_20250301_01.fid;RC-3-D-35A-P_CARBON_20250301_01.fid;RC-3-D-35A-P_HSQCAD_20250301_01.fid;RC-3-D-35A-P_PROTON_20250301_02.fid;RC-3-D-34B-P_CARBON_20250301_01.fid;RC-3-D-34B-P_HSQCAD_20250301_01.fid;RC-3-D-34B-P_PROTON_20250301_02.fid;RC-3-D-34B-P_gHMBCAD_20250301_01.fid;RC-3-D-37A-P_CARBON_20</t>
  </si>
  <si>
    <t>_01.fid;</t>
  </si>
  <si>
    <t>RC-3-D-</t>
  </si>
  <si>
    <t>37A</t>
  </si>
  <si>
    <t>_H</t>
  </si>
  <si>
    <t>SQCAD</t>
  </si>
  <si>
    <t>_2025</t>
  </si>
  <si>
    <t>1_01</t>
  </si>
  <si>
    <t>.fid;RC-3-D</t>
  </si>
  <si>
    <t>-37A-P_PROT</t>
  </si>
  <si>
    <t>ON_20250301_02</t>
  </si>
  <si>
    <t>.fid;R</t>
  </si>
  <si>
    <t>C-3-D-</t>
  </si>
  <si>
    <t>37A-P_gHMBCAD_2</t>
  </si>
  <si>
    <t>_01.fid;RC-3-D</t>
  </si>
  <si>
    <t>-38B-P_CARBON_20250305_01.fid;RC-3-D-38B-P_HSQCAD_20250305_01.fid;RC-3-D-38B-P_PROTON_20250305_02.fid;RC-3-D-38B-P_PROTON_20250305_03.fid;RC-3-D-39A-P_CARBON_20250305_01.fid;RC-3-D-39A-P_HSQCAD_20250305_01.fid;RC-3-D-39A-P_PROTON_20250305_03.fid;RC-3-D-48</t>
  </si>
  <si>
    <t>3aa. JSP01-P-CDCL3;3ab. JSP16-P2-CDCL3;3ac. JM431-P-RE-CDCL3;3ba. JM400-P-CDCL3;3ca. JM393-P-CDCL3;3da. JM399-P-CDCL3;3ea. JM398-P-CDCL3;3fa. JM468-P-ACE;3ga. JM405-P1-CDCL3;3ha. JM411-P-RE-CDCL3;3ia. JM346-P1-CDCL3(re);3ja. JM-ZM04-P-CDCL3;3ka. JM370-RE-P-CDCL3;3la. ZM05-P-CDCL3, ZM46(C);3ma;3oa. JSP31-P;3pa. JM-JSP06-P-RE-CDCL3;3qa. ZM10-P-RE2;4aa. TJ-n-379B-P2;4ab. JM446-P-ACE;4ba. JSP-JM436-P;4ca. JM373-P-RE-ACE;4da.</t>
  </si>
  <si>
    <t>JM</t>
  </si>
  <si>
    <t>(rp)-P-1</t>
  </si>
  <si>
    <t>1-CDCL3</t>
  </si>
  <si>
    <t>;4e</t>
  </si>
  <si>
    <t>a.</t>
  </si>
  <si>
    <t>J</t>
  </si>
  <si>
    <t>M377-</t>
  </si>
  <si>
    <t>P-RE-</t>
  </si>
  <si>
    <t>CDC</t>
  </si>
  <si>
    <t>L3;4</t>
  </si>
  <si>
    <t>fa. JM378-P</t>
  </si>
  <si>
    <t>-CDCL3;4ga.</t>
  </si>
  <si>
    <t>JM380-P-RE;4h</t>
  </si>
  <si>
    <t>a. JM3</t>
  </si>
  <si>
    <t>79-P;4</t>
  </si>
  <si>
    <t>ia. ZM03-P-RE(2</t>
  </si>
  <si>
    <t>)-DM</t>
  </si>
  <si>
    <t>SO;</t>
  </si>
  <si>
    <t>4ja. JSP-JM415</t>
  </si>
  <si>
    <t>-P-RE-ACE;5a. TJ-N-359;Ruthenacycle A-TJ-N-439;deuterio-3aa;deuterio-4aa</t>
  </si>
  <si>
    <t>01. diprotio_radical_gs_12a.out;02. diprotio_cyclization_ts(12a-to-13a).out;03. diprotio_radical_closed_gs_13a.out;04. difluoro_radical_gs_12b.out;05. difluoro_radical_ts(12b-to-13b).out;06. difluoro_radical_closed_gs_13b.out;07. Difluoroanhydride reactive 18.out;08. TS1.out;09. Diradical DiRad.out;10. TS2.out;11. Cyclic Allene 19.out;12. Cyclohexene cy.out;13. 32 min.out;14. HF.out;15. 33 min.out;16. 33 from RC of TS3 a</t>
  </si>
  <si>
    <t>nd</t>
  </si>
  <si>
    <t>TS4</t>
  </si>
  <si>
    <t>.out;17.</t>
  </si>
  <si>
    <t>TS3.ou</t>
  </si>
  <si>
    <t>t;1</t>
  </si>
  <si>
    <t>S4.ou</t>
  </si>
  <si>
    <t>t;19.</t>
  </si>
  <si>
    <t>min</t>
  </si>
  <si>
    <t>.out;20. 29</t>
  </si>
  <si>
    <t>from RC of</t>
  </si>
  <si>
    <t>TS3.out;21. 3</t>
  </si>
  <si>
    <t>0 min.</t>
  </si>
  <si>
    <t>out;22</t>
  </si>
  <si>
    <t>. 30 from RC of</t>
  </si>
  <si>
    <t>.ou</t>
  </si>
  <si>
    <t>t;List of comp</t>
  </si>
  <si>
    <t>uted stationary points shown in the SI (1-22).docx;~$22 list.docx</t>
  </si>
  <si>
    <t>Compound_name</t>
  </si>
  <si>
    <t>spectroscopies</t>
  </si>
  <si>
    <t>Compound_Name_diff</t>
  </si>
  <si>
    <t>mix ID_spec</t>
  </si>
  <si>
    <t>OK?</t>
  </si>
  <si>
    <t>id_spec.mnova</t>
  </si>
  <si>
    <t>mp4??</t>
  </si>
  <si>
    <t>X</t>
  </si>
  <si>
    <t>name is better</t>
  </si>
  <si>
    <t>mix</t>
  </si>
  <si>
    <t>ID&lt;space&gt;spec</t>
  </si>
  <si>
    <t>xyz files?</t>
  </si>
  <si>
    <t>mix of txt and mol</t>
  </si>
  <si>
    <t>mix ID spec</t>
  </si>
  <si>
    <t>pdf?</t>
  </si>
  <si>
    <t>.doc</t>
  </si>
  <si>
    <t>.docx</t>
  </si>
  <si>
    <t>mix compound_spec</t>
  </si>
  <si>
    <t>mix compound-spec</t>
  </si>
  <si>
    <t>.xyz files</t>
  </si>
  <si>
    <t>rejected as zip</t>
  </si>
  <si>
    <t>rejected file name</t>
  </si>
  <si>
    <t>just xyz files</t>
  </si>
  <si>
    <t>xyz only</t>
  </si>
  <si>
    <t>`</t>
  </si>
  <si>
    <t>(xyz files only)</t>
  </si>
  <si>
    <t>"spec_cmpd"</t>
  </si>
  <si>
    <t>BH 2026.04.09</t>
  </si>
  <si>
    <t>compound_spec</t>
  </si>
  <si>
    <t xml:space="preserve">.txt </t>
  </si>
  <si>
    <t>bash should remove .xyz and .txt files from file list</t>
  </si>
  <si>
    <t>Java issue</t>
  </si>
  <si>
    <t>katanaka middle dot CP936 char set???</t>
  </si>
  <si>
    <t>#TODO.txt</t>
  </si>
  <si>
    <t xml:space="preserve"> </t>
  </si>
  <si>
    <t>name inappropriatelly removes "3"</t>
  </si>
  <si>
    <t>cmpd-spec</t>
  </si>
  <si>
    <t>name inappropriatelly removes "1"</t>
  </si>
  <si>
    <t>ouch! These are goupings of several spectra</t>
  </si>
  <si>
    <t>spec "of" compound</t>
  </si>
  <si>
    <t>txt only</t>
  </si>
  <si>
    <t>missing whole chunks of compounds</t>
  </si>
  <si>
    <t>Compound Application NMR</t>
  </si>
  <si>
    <t>compound_spec.jdf</t>
  </si>
  <si>
    <t>Compound MH Mech</t>
  </si>
  <si>
    <t>compound-spec</t>
  </si>
  <si>
    <t>OK, not really spectra, but it works.</t>
  </si>
  <si>
    <t>gif images of molecules only</t>
  </si>
  <si>
    <t>gif only</t>
  </si>
  <si>
    <t>Compound comp07b_1324-939_cdcl3</t>
  </si>
  <si>
    <t>python only</t>
  </si>
  <si>
    <t>trouble with paths  FID files/3aa-zds-20-66-3/zds-20-66-3-H/1</t>
  </si>
  <si>
    <t>compound_(spec)</t>
  </si>
  <si>
    <t>compound(spec)</t>
  </si>
  <si>
    <t>pdb only -- should not reject?</t>
  </si>
  <si>
    <t>NMR-pdb only</t>
  </si>
  <si>
    <t>compound count</t>
  </si>
  <si>
    <t>just xyz,mol,pdb files</t>
  </si>
  <si>
    <t>xyz,mol,pdb</t>
  </si>
  <si>
    <t>some text</t>
  </si>
  <si>
    <t>au programs only</t>
  </si>
  <si>
    <t>mol files only</t>
  </si>
  <si>
    <t>Java cannot read zip file with IBM CodePage 936 (simplified Chinese)</t>
  </si>
  <si>
    <t>complex names</t>
  </si>
  <si>
    <t>FAILED 3cc/重新打/</t>
  </si>
  <si>
    <t>5j is missing due to extra directory levelol4c04348_si_002/final raw data/5i/1H/1H, Apr20-2023FN430.zip__/uxnmr.par
ol4c04348_si_002/final raw data/5j/5j/13C/13C, Apr05-2023AN500.zip__/acqu</t>
  </si>
  <si>
    <t>missing 5j;bruker zip in bruker zip!</t>
  </si>
  <si>
    <t>fchk, log files only</t>
  </si>
  <si>
    <t>fchk,log</t>
  </si>
  <si>
    <t>calc out files only</t>
  </si>
  <si>
    <t>App?</t>
  </si>
  <si>
    <t>FID-</t>
  </si>
  <si>
    <t>out</t>
  </si>
  <si>
    <t>Invalid JEOL file</t>
  </si>
  <si>
    <t>invalid jeoL file 3aa/26-04-249 HSQC.Y-1.jdf</t>
  </si>
  <si>
    <t>3h -- just the pdata dir! This IS readable in Mnova</t>
  </si>
  <si>
    <t>Identified HRMS, IR PDF files; LOST THE procpar files; did identify compound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</si>
</sst>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34" borderId="0" xfId="0" applyFill="1" applyAlignment="1">
      <alignment vertical="top"/>
    </xf>
    <xf numFmtId="0" fontId="16" fillId="34" borderId="0" xfId="0" applyFont="1" applyFill="1" applyAlignment="1">
      <alignment vertical="top"/>
    </xf>
    <xf numFmtId="0" fontId="0" fillId="35" borderId="0" xfId="0" applyFill="1" applyAlignment="1">
      <alignment vertical="top"/>
    </xf>
    <xf numFmtId="0" fontId="0" fillId="35" borderId="0" xfId="0" applyFill="1"/>
    <xf numFmtId="0" fontId="0" fillId="37" borderId="0" xfId="0" applyFill="1"/>
    <xf numFmtId="0" fontId="0" fillId="36" borderId="0" xfId="0" applyFill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8" borderId="0" xfId="0" applyFill="1" applyAlignment="1">
      <alignment vertical="top"/>
    </xf>
    <xf numFmtId="0" fontId="0" fillId="38" borderId="0" xfId="0" applyFill="1"/>
    <xf numFmtId="0" fontId="18" fillId="38" borderId="0" xfId="42" applyFill="1"/>
    <xf numFmtId="0" fontId="16" fillId="39" borderId="0" xfId="0" applyFont="1" applyFill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21/acs.orglett.5c04403" TargetMode="External"/><Relationship Id="rId2" Type="http://schemas.openxmlformats.org/officeDocument/2006/relationships/hyperlink" Target="https://acs.figshare.com/articles/dataset/Regioselective_Synthesis_of_i_E_i_3-_Alkylamino_methylene_-2-thioxothiochroman-4-one_Derivatives_and_Their_Regioselective_Cycloaddition_with_Alkynes/29366711" TargetMode="External"/><Relationship Id="rId1" Type="http://schemas.openxmlformats.org/officeDocument/2006/relationships/hyperlink" Target="https://doi.org/10.1021/acs.joc.5c02152.s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0AB0-41E7-424C-80DD-B16F3E24796D}">
  <dimension ref="A1:AB347"/>
  <sheetViews>
    <sheetView tabSelected="1" zoomScale="77" zoomScaleNormal="77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" sqref="M1:M1048576"/>
    </sheetView>
  </sheetViews>
  <sheetFormatPr defaultRowHeight="14.5" x14ac:dyDescent="0.35"/>
  <cols>
    <col min="1" max="1" width="6" customWidth="1"/>
    <col min="2" max="2" width="10.90625" style="5" customWidth="1"/>
    <col min="3" max="3" width="14.6328125" style="1" customWidth="1"/>
    <col min="4" max="4" width="7.1796875" customWidth="1"/>
    <col min="5" max="5" width="2.08984375" customWidth="1"/>
    <col min="6" max="8" width="6" customWidth="1"/>
    <col min="9" max="9" width="6.81640625" bestFit="1" customWidth="1"/>
    <col min="10" max="11" width="5.81640625" customWidth="1"/>
    <col min="13" max="13" width="26.1796875" customWidth="1"/>
    <col min="14" max="14" width="18.7265625" customWidth="1"/>
    <col min="15" max="15" width="9.1796875" customWidth="1"/>
    <col min="16" max="16" width="13.26953125" style="13" customWidth="1"/>
    <col min="17" max="17" width="14.81640625" style="13" customWidth="1"/>
    <col min="18" max="18" width="6.54296875" customWidth="1"/>
    <col min="19" max="19" width="6.6328125" customWidth="1"/>
    <col min="20" max="20" width="16.36328125" style="13" customWidth="1"/>
    <col min="21" max="21" width="36.36328125" style="13" customWidth="1"/>
    <col min="22" max="22" width="9.90625" customWidth="1"/>
    <col min="23" max="23" width="19.08984375" customWidth="1"/>
    <col min="24" max="24" width="14" customWidth="1"/>
    <col min="25" max="25" width="8.7265625" style="1"/>
    <col min="26" max="26" width="11.26953125" customWidth="1"/>
    <col min="28" max="28" width="22.90625" customWidth="1"/>
  </cols>
  <sheetData>
    <row r="1" spans="1:28" s="2" customFormat="1" ht="24.5" customHeight="1" x14ac:dyDescent="0.35">
      <c r="A1" s="2" t="s">
        <v>1046</v>
      </c>
      <c r="B1" s="4" t="s">
        <v>1058</v>
      </c>
      <c r="C1" s="3" t="s">
        <v>2263</v>
      </c>
      <c r="D1" s="2" t="s">
        <v>1051</v>
      </c>
      <c r="E1" s="2" t="s">
        <v>1121</v>
      </c>
      <c r="F1" s="2" t="s">
        <v>1052</v>
      </c>
      <c r="G1" s="2" t="s">
        <v>1049</v>
      </c>
      <c r="H1" s="2" t="s">
        <v>1287</v>
      </c>
      <c r="I1" s="2" t="s">
        <v>1288</v>
      </c>
      <c r="J1" s="2" t="s">
        <v>1289</v>
      </c>
      <c r="M1" s="3" t="s">
        <v>1130</v>
      </c>
      <c r="N1" s="2" t="s">
        <v>1291</v>
      </c>
      <c r="O1" s="2" t="s">
        <v>1095</v>
      </c>
      <c r="P1" s="12" t="s">
        <v>1044</v>
      </c>
      <c r="Q1" s="12" t="s">
        <v>0</v>
      </c>
      <c r="R1" s="2" t="s">
        <v>1057</v>
      </c>
      <c r="S1" s="2" t="s">
        <v>1047</v>
      </c>
      <c r="T1" s="12" t="s">
        <v>1</v>
      </c>
      <c r="U1" s="12" t="s">
        <v>1045</v>
      </c>
      <c r="V1" s="2" t="s">
        <v>1058</v>
      </c>
      <c r="W1" s="2" t="s">
        <v>1059</v>
      </c>
      <c r="X1" s="2" t="s">
        <v>1048</v>
      </c>
      <c r="Y1" s="3" t="str">
        <f>"--localSource c:/temp/acs2/data --targetDir c:/temp/acs2/$DOI$ --noDownload --readOnly "</f>
        <v xml:space="preserve">--localSource c:/temp/acs2/data --targetDir c:/temp/acs2/$DOI$ --noDownload --readOnly </v>
      </c>
      <c r="Z1" s="3" t="s">
        <v>1055</v>
      </c>
      <c r="AA1" s="2" t="s">
        <v>2250</v>
      </c>
      <c r="AB1" s="2" t="s">
        <v>2251</v>
      </c>
    </row>
    <row r="2" spans="1:28" x14ac:dyDescent="0.35">
      <c r="A2">
        <v>1</v>
      </c>
      <c r="B2" s="5" t="str">
        <f t="shared" ref="B2:B65" si="0">V2</f>
        <v>jo4c02089</v>
      </c>
      <c r="C2" s="1" t="str">
        <f t="shared" ref="C2:C65" si="1">IF(Y2="","",IF(OR(O2,F2=1,M2=""),"#"&amp;B2 &amp;" "&amp;G2,B2&amp;IF(G2="",""," # " &amp;G2)))</f>
        <v>jo4c02089</v>
      </c>
      <c r="D2">
        <f>A2 - SUM(E$2:E2)</f>
        <v>1</v>
      </c>
      <c r="E2" t="str">
        <f t="shared" ref="E2:E65" si="2">IF(B2=B1,"1","0")</f>
        <v>0</v>
      </c>
      <c r="F2">
        <v>0</v>
      </c>
      <c r="H2">
        <v>38</v>
      </c>
      <c r="I2">
        <v>75</v>
      </c>
      <c r="M2" t="str">
        <f t="shared" ref="M2:M65" si="3">IF(OR(O2,D2=""),"","/*"&amp;D2&amp;" " &amp; B2 &amp;" */"""&amp;Q2&amp;""",//"&amp;T2)</f>
        <v>/*1 jo4c02089 */"https://doi.org/10.1021/acs.joc.4c02089.s002",//Ring-Size-Dependent Selectivity of the β‑Hydride Elimination in Heck-Type Arylations of exo-Methylene Cycloketones: Chalcones versus 2‑Benzyl-1-naphthols</v>
      </c>
      <c r="N2" t="e">
        <f t="shared" ref="N2:N65" si="4">VLOOKUP(W2,AA:AB,2,FALSE)</f>
        <v>#N/A</v>
      </c>
      <c r="O2" t="b">
        <f t="shared" ref="O2:O65" si="5">NOT(ISNA(VLOOKUP(W2,AA:AA,1,FALSE)))</f>
        <v>0</v>
      </c>
      <c r="P2" s="13" t="s">
        <v>773</v>
      </c>
      <c r="Q2" s="13" t="s">
        <v>774</v>
      </c>
      <c r="R2" t="str">
        <f t="shared" ref="R2:R65" si="6">MID(Q2,LEN(Q2)-2,4)</f>
        <v>002</v>
      </c>
      <c r="S2">
        <v>1</v>
      </c>
      <c r="T2" s="13" t="str">
        <f>VLOOKUP(Q2,original!B:C,2,FALSE)</f>
        <v>Ring-Size-Dependent Selectivity of the β‑Hydride Elimination in Heck-Type Arylations of exo-Methylene Cycloketones: Chalcones versus 2‑Benzyl-1-naphthols</v>
      </c>
      <c r="U2" s="13" t="s">
        <v>775</v>
      </c>
      <c r="V2" t="str">
        <f t="shared" ref="V2:V65" si="7">SUBSTITUTE(SUBSTITUTE(MID(U2,LEN(U2)-8,100),"c.","jo"),"t.","ol")</f>
        <v>jo4c02089</v>
      </c>
      <c r="W2" t="str">
        <f t="shared" ref="W2:W65" si="8">B2&amp;"_si_"&amp;R2&amp;".zip"</f>
        <v>jo4c02089_si_002.zip</v>
      </c>
      <c r="X2" t="str">
        <f t="shared" ref="X2:X65" si="9">IF(U2&lt;&gt;U1,P2,X1&amp;"\t"&amp;P2)</f>
        <v>https://acs.figshare.com/articles/dataset/Ring-Size-Dependent_Selectivity_of_the_Hydride_Elimination_in_Heck-Type_Arylations_of_i_exo_i_-Methylene_Cycloketones_Chalcones_versus_2_Benzyl-1-naphthols/28667362</v>
      </c>
      <c r="Y2" s="1" t="str">
        <f>IF(U2&lt;&gt;U3,$Y$1&amp;" --pubDOI "&amp; U2&amp;" --dataURL """&amp;SUBSTITUTE(U2&amp;X2&amp;"""","https://doi.org/",""),"")</f>
        <v>--localSource c:/temp/acs2/data --targetDir c:/temp/acs2/$DOI$ --noDownload --readOnly  --pubDOI https://doi.org/10.1021/acs.joc.4c02089 --dataURL "10.1021/acs.joc.4c02089https://acs.figshare.com/articles/dataset/Ring-Size-Dependent_Selectivity_of_the_Hydride_Elimination_in_Heck-Type_Arylations_of_i_exo_i_-Methylene_Cycloketones_Chalcones_versus_2_Benzyl-1-naphthols/28667362"</v>
      </c>
      <c r="Z2" t="str">
        <f t="shared" ref="Z2:Z65" si="10">"&lt;br&gt;&lt;a href="""&amp;Q2&amp;"""&gt;"&amp;Q2&amp;"&lt;/a&gt;"</f>
        <v>&lt;br&gt;&lt;a href="https://doi.org/10.1021/acs.joc.4c02089.s002"&gt;https://doi.org/10.1021/acs.joc.4c02089.s002&lt;/a&gt;</v>
      </c>
      <c r="AA2" t="str">
        <f t="shared" ref="AA2:AA65" si="11">IF(AB2="","",MID(AB2,1,LEN(AB2)-4)&amp;".zip")</f>
        <v>jo5c01560_si_002.zip</v>
      </c>
      <c r="AB2" t="s">
        <v>1073</v>
      </c>
    </row>
    <row r="3" spans="1:28" x14ac:dyDescent="0.35">
      <c r="A3">
        <v>2</v>
      </c>
      <c r="B3" s="5" t="str">
        <f t="shared" si="0"/>
        <v>jo4c02094</v>
      </c>
      <c r="C3" s="1" t="str">
        <f t="shared" si="1"/>
        <v/>
      </c>
      <c r="D3">
        <f>IF(F3=1,"",IF(AND(D2="",S2=S3),"",S3-SUM(F$2:F2)))</f>
        <v>2</v>
      </c>
      <c r="E3" t="str">
        <f t="shared" si="2"/>
        <v>0</v>
      </c>
      <c r="F3">
        <v>0</v>
      </c>
      <c r="G3" t="s">
        <v>1050</v>
      </c>
      <c r="M3" t="str">
        <f t="shared" si="3"/>
        <v>/*2 jo4c02094 */"https://doi.org/10.1021/acs.joc.4c02094.s002",//Meta-, Regioselective Amination of Cyclic Diaryliodoniums through C–I and C–O Bond Cleavages: An Access to Functionalized Coumarins</v>
      </c>
      <c r="N3" t="e">
        <f t="shared" si="4"/>
        <v>#N/A</v>
      </c>
      <c r="O3" t="b">
        <f t="shared" si="5"/>
        <v>0</v>
      </c>
      <c r="P3" s="13" t="s">
        <v>891</v>
      </c>
      <c r="Q3" s="13" t="s">
        <v>892</v>
      </c>
      <c r="R3" t="str">
        <f t="shared" si="6"/>
        <v>002</v>
      </c>
      <c r="S3">
        <f t="shared" ref="S3:S66" si="12">IF(U3=U2,S2,S2+1)</f>
        <v>2</v>
      </c>
      <c r="T3" s="13" t="str">
        <f>VLOOKUP(Q3,original!B:C,2,FALSE)</f>
        <v>Meta-, Regioselective Amination of Cyclic Diaryliodoniums through C–I and C–O Bond Cleavages: An Access to Functionalized Coumarins</v>
      </c>
      <c r="U3" s="13" t="s">
        <v>888</v>
      </c>
      <c r="V3" t="str">
        <f t="shared" si="7"/>
        <v>jo4c02094</v>
      </c>
      <c r="W3" t="str">
        <f t="shared" si="8"/>
        <v>jo4c02094_si_002.zip</v>
      </c>
      <c r="X3" t="str">
        <f t="shared" si="9"/>
        <v>https://acs.figshare.com/articles/dataset/_i_Meta_i_-_Regioselective_Amination_of_Cyclic_Diaryliodoniums_through_C_I_and_C_O_Bond_Cleavages_An_Access_to_Functionalized_Coumarins/28503207</v>
      </c>
      <c r="Y3" s="1" t="str">
        <f t="shared" ref="Y3:Y66" si="13">IF(U3&lt;&gt;U4,$Y$1&amp;" --pubDOI "&amp; U3&amp;" --dataDOI """&amp;SUBSTITUTE(U3&amp;X3&amp;"""","https://doi.org/",""),"")</f>
        <v/>
      </c>
      <c r="Z3" t="str">
        <f t="shared" si="10"/>
        <v>&lt;br&gt;&lt;a href="https://doi.org/10.1021/acs.joc.4c02094.s002"&gt;https://doi.org/10.1021/acs.joc.4c02094.s002&lt;/a&gt;</v>
      </c>
      <c r="AA3" t="str">
        <f t="shared" si="11"/>
        <v>jo4c02574_si_002.zip</v>
      </c>
      <c r="AB3" t="s">
        <v>1098</v>
      </c>
    </row>
    <row r="4" spans="1:28" x14ac:dyDescent="0.35">
      <c r="A4">
        <v>3</v>
      </c>
      <c r="B4" s="5" t="str">
        <f t="shared" si="0"/>
        <v>jo4c02094</v>
      </c>
      <c r="C4" s="1" t="str">
        <f t="shared" si="1"/>
        <v/>
      </c>
      <c r="D4">
        <f>IF(F4=1,"",IF(AND(D3="",S3=S4),"",S4-SUM(F$2:F3)))</f>
        <v>2</v>
      </c>
      <c r="E4" t="str">
        <f t="shared" si="2"/>
        <v>1</v>
      </c>
      <c r="F4">
        <v>0</v>
      </c>
      <c r="G4" t="s">
        <v>1050</v>
      </c>
      <c r="M4" t="str">
        <f t="shared" si="3"/>
        <v>/*2 jo4c02094 */"https://doi.org/10.1021/acs.joc.4c02094.s003",//Meta-, Regioselective Amination of Cyclic Diaryliodoniums through C–I and C–O Bond Cleavages: An Access to Functionalized Coumarins</v>
      </c>
      <c r="N4" t="e">
        <f t="shared" si="4"/>
        <v>#N/A</v>
      </c>
      <c r="O4" t="b">
        <f t="shared" si="5"/>
        <v>0</v>
      </c>
      <c r="P4" s="13" t="s">
        <v>889</v>
      </c>
      <c r="Q4" s="13" t="s">
        <v>890</v>
      </c>
      <c r="R4" t="str">
        <f t="shared" si="6"/>
        <v>003</v>
      </c>
      <c r="S4">
        <f t="shared" si="12"/>
        <v>2</v>
      </c>
      <c r="T4" s="13" t="str">
        <f>VLOOKUP(Q4,original!B:C,2,FALSE)</f>
        <v>Meta-, Regioselective Amination of Cyclic Diaryliodoniums through C–I and C–O Bond Cleavages: An Access to Functionalized Coumarins</v>
      </c>
      <c r="U4" s="13" t="s">
        <v>888</v>
      </c>
      <c r="V4" t="str">
        <f t="shared" si="7"/>
        <v>jo4c02094</v>
      </c>
      <c r="W4" t="str">
        <f t="shared" si="8"/>
        <v>jo4c02094_si_003.zip</v>
      </c>
      <c r="X4" t="str">
        <f t="shared" si="9"/>
        <v>https://acs.figshare.com/articles/dataset/_i_Meta_i_-_Regioselective_Amination_of_Cyclic_Diaryliodoniums_through_C_I_and_C_O_Bond_Cleavages_An_Access_to_Functionalized_Coumarins/28503207\thttps://acs.figshare.com/articles/dataset/_i_Meta_i_-_Regioselective_Amination_of_Cyclic_Diaryliodoniums_through_C_I_and_C_O_Bond_Cleavages_An_Access_to_Functionalized_Coumarins/28503210</v>
      </c>
      <c r="Y4" s="1" t="str">
        <f t="shared" si="13"/>
        <v/>
      </c>
      <c r="Z4" t="str">
        <f t="shared" si="10"/>
        <v>&lt;br&gt;&lt;a href="https://doi.org/10.1021/acs.joc.4c02094.s003"&gt;https://doi.org/10.1021/acs.joc.4c02094.s003&lt;/a&gt;</v>
      </c>
      <c r="AA4" t="str">
        <f t="shared" si="11"/>
        <v>jo4c02676_si_001.zip</v>
      </c>
      <c r="AB4" t="s">
        <v>1061</v>
      </c>
    </row>
    <row r="5" spans="1:28" x14ac:dyDescent="0.35">
      <c r="A5">
        <v>4</v>
      </c>
      <c r="B5" s="5" t="str">
        <f t="shared" si="0"/>
        <v>jo4c02094</v>
      </c>
      <c r="C5" s="1" t="str">
        <f t="shared" si="1"/>
        <v>jo4c02094 # fails [F-NMR, 3w, 10, pdata] F-NMR</v>
      </c>
      <c r="D5">
        <f>IF(F5=1,"",IF(AND(D4="",S4=S5),"",S5-SUM(F$2:F4)))</f>
        <v>2</v>
      </c>
      <c r="E5" t="str">
        <f t="shared" si="2"/>
        <v>1</v>
      </c>
      <c r="F5">
        <v>0</v>
      </c>
      <c r="G5" t="s">
        <v>1050</v>
      </c>
      <c r="H5">
        <v>90</v>
      </c>
      <c r="I5">
        <v>143</v>
      </c>
      <c r="M5" t="str">
        <f t="shared" si="3"/>
        <v>/*2 jo4c02094 */"https://doi.org/10.1021/acs.joc.4c02094.s004",//&lt;i&gt;Meta&lt;/i&gt;-, Regioselective Amination of Cyclic Diaryliodoniums through C–I and C–O Bond Cleavages: An Access to Functionalized Coumarins</v>
      </c>
      <c r="N5" t="e">
        <f t="shared" si="4"/>
        <v>#N/A</v>
      </c>
      <c r="O5" t="b">
        <f t="shared" si="5"/>
        <v>0</v>
      </c>
      <c r="P5" s="13" t="s">
        <v>886</v>
      </c>
      <c r="Q5" s="13" t="s">
        <v>887</v>
      </c>
      <c r="R5" t="str">
        <f t="shared" si="6"/>
        <v>004</v>
      </c>
      <c r="S5">
        <f t="shared" si="12"/>
        <v>2</v>
      </c>
      <c r="T5" s="13" t="str">
        <f>VLOOKUP(Q5,original!B:C,2,FALSE)</f>
        <v>&lt;i&gt;Meta&lt;/i&gt;-, Regioselective Amination of Cyclic Diaryliodoniums through C–I and C–O Bond Cleavages: An Access to Functionalized Coumarins</v>
      </c>
      <c r="U5" s="13" t="s">
        <v>888</v>
      </c>
      <c r="V5" t="str">
        <f t="shared" si="7"/>
        <v>jo4c02094</v>
      </c>
      <c r="W5" t="str">
        <f t="shared" si="8"/>
        <v>jo4c02094_si_004.zip</v>
      </c>
      <c r="X5" t="str">
        <f t="shared" si="9"/>
        <v>https://acs.figshare.com/articles/dataset/_i_Meta_i_-_Regioselective_Amination_of_Cyclic_Diaryliodoniums_through_C_I_and_C_O_Bond_Cleavages_An_Access_to_Functionalized_Coumarins/28503207\thttps://acs.figshare.com/articles/dataset/_i_Meta_i_-_Regioselective_Amination_of_Cyclic_Diaryliodoniums_through_C_I_and_C_O_Bond_Cleavages_An_Access_to_Functionalized_Coumarins/28503210\thttps://acs.figshare.com/articles/dataset/_i_Meta_i_-_Regioselective_Amination_of_Cyclic_Diaryliodoniums_through_C_I_and_C_O_Bond_Cleavages_An_Access_to_Functionalized_Coumarins/28503213</v>
      </c>
      <c r="Y5" s="1" t="str">
        <f t="shared" si="13"/>
        <v>--localSource c:/temp/acs2/data --targetDir c:/temp/acs2/$DOI$ --noDownload --readOnly  --pubDOI https://doi.org/10.1021/acs.joc.4c02094 --dataDOI "10.1021/acs.joc.4c02094https://acs.figshare.com/articles/dataset/_i_Meta_i_-_Regioselective_Amination_of_Cyclic_Diaryliodoniums_through_C_I_and_C_O_Bond_Cleavages_An_Access_to_Functionalized_Coumarins/28503207\thttps://acs.figshare.com/articles/dataset/_i_Meta_i_-_Regioselective_Amination_of_Cyclic_Diaryliodoniums_through_C_I_and_C_O_Bond_Cleavages_An_Access_to_Functionalized_Coumarins/28503210\thttps://acs.figshare.com/articles/dataset/_i_Meta_i_-_Regioselective_Amination_of_Cyclic_Diaryliodoniums_through_C_I_and_C_O_Bond_Cleavages_An_Access_to_Functionalized_Coumarins/28503213"</v>
      </c>
      <c r="Z5" t="str">
        <f t="shared" si="10"/>
        <v>&lt;br&gt;&lt;a href="https://doi.org/10.1021/acs.joc.4c02094.s004"&gt;https://doi.org/10.1021/acs.joc.4c02094.s004&lt;/a&gt;</v>
      </c>
      <c r="AA5" t="str">
        <f t="shared" si="11"/>
        <v>jo5c00172_si_002.zip</v>
      </c>
      <c r="AB5" t="s">
        <v>1062</v>
      </c>
    </row>
    <row r="6" spans="1:28" x14ac:dyDescent="0.35">
      <c r="A6">
        <v>5</v>
      </c>
      <c r="B6" s="5" t="str">
        <f t="shared" si="0"/>
        <v>jo4c02335</v>
      </c>
      <c r="C6" s="1" t="str">
        <f t="shared" si="1"/>
        <v>jo4c02335</v>
      </c>
      <c r="D6">
        <f>IF(F6=1,"",IF(AND(D5="",S5=S6),"",S6-SUM(F$2:F5)))</f>
        <v>3</v>
      </c>
      <c r="E6" t="str">
        <f t="shared" si="2"/>
        <v>0</v>
      </c>
      <c r="F6">
        <v>0</v>
      </c>
      <c r="H6">
        <v>72</v>
      </c>
      <c r="I6">
        <v>73</v>
      </c>
      <c r="M6" t="str">
        <f t="shared" si="3"/>
        <v>/*3 jo4c02335 */"https://doi.org/10.1021/acs.joc.4c02335.s002",//TEMPO-Mediated Direct C(sp2)–H Alkoxylation/Aryloxylation of 1,4-Quinones</v>
      </c>
      <c r="N6" t="e">
        <f t="shared" si="4"/>
        <v>#N/A</v>
      </c>
      <c r="O6" t="b">
        <f t="shared" si="5"/>
        <v>0</v>
      </c>
      <c r="P6" s="13" t="s">
        <v>1041</v>
      </c>
      <c r="Q6" s="13" t="s">
        <v>1042</v>
      </c>
      <c r="R6" t="str">
        <f t="shared" si="6"/>
        <v>002</v>
      </c>
      <c r="S6">
        <f t="shared" si="12"/>
        <v>3</v>
      </c>
      <c r="T6" s="13" t="str">
        <f>VLOOKUP(Q6,original!B:C,2,FALSE)</f>
        <v>TEMPO-Mediated Direct C(sp2)–H Alkoxylation/Aryloxylation of 1,4-Quinones</v>
      </c>
      <c r="U6" s="13" t="s">
        <v>1043</v>
      </c>
      <c r="V6" t="str">
        <f t="shared" si="7"/>
        <v>jo4c02335</v>
      </c>
      <c r="W6" t="str">
        <f t="shared" si="8"/>
        <v>jo4c02335_si_002.zip</v>
      </c>
      <c r="X6" t="str">
        <f t="shared" si="9"/>
        <v>https://acs.figshare.com/articles/dataset/TEMPO-Mediated_Direct_C_sp_sup_2_sup_H_Alkoxylation_Aryloxylation_of_1_4-Quinones/28137633</v>
      </c>
      <c r="Y6" s="1" t="str">
        <f t="shared" si="13"/>
        <v>--localSource c:/temp/acs2/data --targetDir c:/temp/acs2/$DOI$ --noDownload --readOnly  --pubDOI https://doi.org/10.1021/acs.joc.4c02335 --dataDOI "10.1021/acs.joc.4c02335https://acs.figshare.com/articles/dataset/TEMPO-Mediated_Direct_C_sp_sup_2_sup_H_Alkoxylation_Aryloxylation_of_1_4-Quinones/28137633"</v>
      </c>
      <c r="Z6" t="str">
        <f t="shared" si="10"/>
        <v>&lt;br&gt;&lt;a href="https://doi.org/10.1021/acs.joc.4c02335.s002"&gt;https://doi.org/10.1021/acs.joc.4c02335.s002&lt;/a&gt;</v>
      </c>
      <c r="AA6" t="str">
        <f t="shared" si="11"/>
        <v>jo5c00225_si_002.zip</v>
      </c>
      <c r="AB6" t="s">
        <v>1063</v>
      </c>
    </row>
    <row r="7" spans="1:28" x14ac:dyDescent="0.35">
      <c r="A7">
        <v>6</v>
      </c>
      <c r="B7" s="5" t="str">
        <f t="shared" si="0"/>
        <v>jo4c02429</v>
      </c>
      <c r="C7" s="1" t="str">
        <f t="shared" si="1"/>
        <v>jo4c02429</v>
      </c>
      <c r="D7">
        <f>IF(F7=1,"",IF(AND(D6="",S6=S7),"",S7-SUM(F$2:F6)))</f>
        <v>4</v>
      </c>
      <c r="E7" t="str">
        <f t="shared" si="2"/>
        <v>0</v>
      </c>
      <c r="F7">
        <v>0</v>
      </c>
      <c r="H7">
        <v>1</v>
      </c>
      <c r="I7">
        <v>70</v>
      </c>
      <c r="J7">
        <v>1</v>
      </c>
      <c r="M7" t="str">
        <f t="shared" si="3"/>
        <v>/*4 jo4c02429 */"https://doi.org/10.1021/acs.joc.4c02429.s002",//Electrochemical Cyclization–Desulfurization Approach for the Synthesis of 1,3-Benzoxazines Using Cascade C–O and C–N Bond Formation</v>
      </c>
      <c r="N7" t="e">
        <f t="shared" si="4"/>
        <v>#N/A</v>
      </c>
      <c r="O7" t="b">
        <f t="shared" si="5"/>
        <v>0</v>
      </c>
      <c r="P7" s="13" t="s">
        <v>975</v>
      </c>
      <c r="Q7" s="13" t="s">
        <v>976</v>
      </c>
      <c r="R7" t="str">
        <f t="shared" si="6"/>
        <v>002</v>
      </c>
      <c r="S7">
        <f t="shared" si="12"/>
        <v>4</v>
      </c>
      <c r="T7" s="13" t="str">
        <f>VLOOKUP(Q7,original!B:C,2,FALSE)</f>
        <v>Electrochemical Cyclization–Desulfurization Approach for the Synthesis of 1,3-Benzoxazines Using Cascade C–O and C–N Bond Formation</v>
      </c>
      <c r="U7" s="13" t="s">
        <v>977</v>
      </c>
      <c r="V7" t="str">
        <f t="shared" si="7"/>
        <v>jo4c02429</v>
      </c>
      <c r="W7" t="str">
        <f t="shared" si="8"/>
        <v>jo4c02429_si_002.zip</v>
      </c>
      <c r="X7" t="str">
        <f t="shared" si="9"/>
        <v>https://acs.figshare.com/articles/dataset/Electrochemical_Cyclization_Desulfurization_Approach_for_the_Synthesis_of_1_3-Benzoxazines_Using_Cascade_C_O_and_C_N_Bond_Formation/28308688</v>
      </c>
      <c r="Y7" s="1" t="str">
        <f t="shared" si="13"/>
        <v>--localSource c:/temp/acs2/data --targetDir c:/temp/acs2/$DOI$ --noDownload --readOnly  --pubDOI https://doi.org/10.1021/acs.joc.4c02429 --dataDOI "10.1021/acs.joc.4c02429https://acs.figshare.com/articles/dataset/Electrochemical_Cyclization_Desulfurization_Approach_for_the_Synthesis_of_1_3-Benzoxazines_Using_Cascade_C_O_and_C_N_Bond_Formation/28308688"</v>
      </c>
      <c r="Z7" t="str">
        <f t="shared" si="10"/>
        <v>&lt;br&gt;&lt;a href="https://doi.org/10.1021/acs.joc.4c02429.s002"&gt;https://doi.org/10.1021/acs.joc.4c02429.s002&lt;/a&gt;</v>
      </c>
      <c r="AA7" t="str">
        <f t="shared" si="11"/>
        <v>jo5c00410_si_002.zip</v>
      </c>
      <c r="AB7" t="s">
        <v>1064</v>
      </c>
    </row>
    <row r="8" spans="1:28" x14ac:dyDescent="0.35">
      <c r="A8">
        <v>7</v>
      </c>
      <c r="B8" s="5" t="str">
        <f t="shared" si="0"/>
        <v>jo4c02450</v>
      </c>
      <c r="C8" s="1" t="str">
        <f t="shared" si="1"/>
        <v/>
      </c>
      <c r="D8">
        <f>IF(F8=1,"",IF(AND(D7="",S7=S8),"",S8-SUM(F$2:F7)))</f>
        <v>5</v>
      </c>
      <c r="E8" t="str">
        <f t="shared" si="2"/>
        <v>0</v>
      </c>
      <c r="F8">
        <v>0</v>
      </c>
      <c r="M8" t="str">
        <f t="shared" si="3"/>
        <v>/*5 jo4c02450 */"https://doi.org/10.1021/acs.joc.4c02450.s002",//Four Alkaloids from Alstonia scholaris with Antitumor Activity via Disturbing Glutathione Homeostasis</v>
      </c>
      <c r="N8" t="e">
        <f t="shared" si="4"/>
        <v>#N/A</v>
      </c>
      <c r="O8" t="b">
        <f t="shared" si="5"/>
        <v>0</v>
      </c>
      <c r="P8" s="13" t="s">
        <v>1023</v>
      </c>
      <c r="Q8" s="13" t="s">
        <v>1024</v>
      </c>
      <c r="R8" t="str">
        <f t="shared" si="6"/>
        <v>002</v>
      </c>
      <c r="S8">
        <f t="shared" si="12"/>
        <v>5</v>
      </c>
      <c r="T8" s="13" t="str">
        <f>VLOOKUP(Q8,original!B:C,2,FALSE)</f>
        <v>Four Alkaloids from Alstonia scholaris with Antitumor Activity via Disturbing Glutathione Homeostasis</v>
      </c>
      <c r="U8" s="13" t="s">
        <v>1010</v>
      </c>
      <c r="V8" t="str">
        <f t="shared" si="7"/>
        <v>jo4c02450</v>
      </c>
      <c r="W8" t="str">
        <f t="shared" si="8"/>
        <v>jo4c02450_si_002.zip</v>
      </c>
      <c r="X8" t="str">
        <f t="shared" si="9"/>
        <v>https://acs.figshare.com/articles/dataset/Four_Alkaloids_from_i_Alstonia_scholaris_i_with_Antitumor_Activity_via_Disturbing_Glutathione_Homeostasis/28181963</v>
      </c>
      <c r="Y8" s="1" t="str">
        <f t="shared" si="13"/>
        <v/>
      </c>
      <c r="Z8" t="str">
        <f t="shared" si="10"/>
        <v>&lt;br&gt;&lt;a href="https://doi.org/10.1021/acs.joc.4c02450.s002"&gt;https://doi.org/10.1021/acs.joc.4c02450.s002&lt;/a&gt;</v>
      </c>
      <c r="AA8" t="str">
        <f t="shared" si="11"/>
        <v>jo5c00670_si_001.zip</v>
      </c>
      <c r="AB8" t="s">
        <v>1065</v>
      </c>
    </row>
    <row r="9" spans="1:28" x14ac:dyDescent="0.35">
      <c r="A9">
        <v>8</v>
      </c>
      <c r="B9" s="5" t="str">
        <f t="shared" si="0"/>
        <v>jo4c02450</v>
      </c>
      <c r="C9" s="1" t="str">
        <f t="shared" si="1"/>
        <v/>
      </c>
      <c r="D9">
        <f>IF(F9=1,"",IF(AND(D8="",S8=S9),"",S9-SUM(F$2:F8)))</f>
        <v>5</v>
      </c>
      <c r="E9" t="str">
        <f t="shared" si="2"/>
        <v>1</v>
      </c>
      <c r="F9">
        <v>0</v>
      </c>
      <c r="M9" t="str">
        <f t="shared" si="3"/>
        <v>/*5 jo4c02450 */"https://doi.org/10.1021/acs.joc.4c02450.s003",//Four Alkaloids from Alstonia scholaris with Antitumor Activity via Disturbing Glutathione Homeostasis</v>
      </c>
      <c r="N9" t="e">
        <f t="shared" si="4"/>
        <v>#N/A</v>
      </c>
      <c r="O9" t="b">
        <f t="shared" si="5"/>
        <v>0</v>
      </c>
      <c r="P9" s="13" t="s">
        <v>1021</v>
      </c>
      <c r="Q9" s="13" t="s">
        <v>1022</v>
      </c>
      <c r="R9" t="str">
        <f t="shared" si="6"/>
        <v>003</v>
      </c>
      <c r="S9">
        <f t="shared" si="12"/>
        <v>5</v>
      </c>
      <c r="T9" s="13" t="str">
        <f>VLOOKUP(Q9,original!B:C,2,FALSE)</f>
        <v>Four Alkaloids from Alstonia scholaris with Antitumor Activity via Disturbing Glutathione Homeostasis</v>
      </c>
      <c r="U9" s="13" t="s">
        <v>1010</v>
      </c>
      <c r="V9" t="str">
        <f t="shared" si="7"/>
        <v>jo4c02450</v>
      </c>
      <c r="W9" t="str">
        <f t="shared" si="8"/>
        <v>jo4c02450_si_003.zip</v>
      </c>
      <c r="X9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</v>
      </c>
      <c r="Y9" s="1" t="str">
        <f t="shared" si="13"/>
        <v/>
      </c>
      <c r="Z9" t="str">
        <f t="shared" si="10"/>
        <v>&lt;br&gt;&lt;a href="https://doi.org/10.1021/acs.joc.4c02450.s003"&gt;https://doi.org/10.1021/acs.joc.4c02450.s003&lt;/a&gt;</v>
      </c>
      <c r="AA9" t="str">
        <f t="shared" si="11"/>
        <v>jo5c00726_si_001.zip</v>
      </c>
      <c r="AB9" t="s">
        <v>1066</v>
      </c>
    </row>
    <row r="10" spans="1:28" x14ac:dyDescent="0.35">
      <c r="A10">
        <v>9</v>
      </c>
      <c r="B10" s="5" t="str">
        <f t="shared" si="0"/>
        <v>jo4c02450</v>
      </c>
      <c r="C10" s="1" t="str">
        <f t="shared" si="1"/>
        <v/>
      </c>
      <c r="D10">
        <f>IF(F10=1,"",IF(AND(D9="",S9=S10),"",S10-SUM(F$2:F9)))</f>
        <v>5</v>
      </c>
      <c r="E10" t="str">
        <f t="shared" si="2"/>
        <v>1</v>
      </c>
      <c r="F10">
        <v>0</v>
      </c>
      <c r="M10" t="str">
        <f t="shared" si="3"/>
        <v>/*5 jo4c02450 */"https://doi.org/10.1021/acs.joc.4c02450.s004",//Four Alkaloids from Alstonia scholaris with Antitumor Activity via Disturbing Glutathione Homeostasis</v>
      </c>
      <c r="N10" t="e">
        <f t="shared" si="4"/>
        <v>#N/A</v>
      </c>
      <c r="O10" t="b">
        <f t="shared" si="5"/>
        <v>0</v>
      </c>
      <c r="P10" s="13" t="s">
        <v>1019</v>
      </c>
      <c r="Q10" s="13" t="s">
        <v>1020</v>
      </c>
      <c r="R10" t="str">
        <f t="shared" si="6"/>
        <v>004</v>
      </c>
      <c r="S10">
        <f t="shared" si="12"/>
        <v>5</v>
      </c>
      <c r="T10" s="13" t="str">
        <f>VLOOKUP(Q10,original!B:C,2,FALSE)</f>
        <v>Four Alkaloids from Alstonia scholaris with Antitumor Activity via Disturbing Glutathione Homeostasis</v>
      </c>
      <c r="U10" s="13" t="s">
        <v>1010</v>
      </c>
      <c r="V10" t="str">
        <f t="shared" si="7"/>
        <v>jo4c02450</v>
      </c>
      <c r="W10" t="str">
        <f t="shared" si="8"/>
        <v>jo4c02450_si_004.zip</v>
      </c>
      <c r="X10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</v>
      </c>
      <c r="Y10" s="1" t="str">
        <f t="shared" si="13"/>
        <v/>
      </c>
      <c r="Z10" t="str">
        <f t="shared" si="10"/>
        <v>&lt;br&gt;&lt;a href="https://doi.org/10.1021/acs.joc.4c02450.s004"&gt;https://doi.org/10.1021/acs.joc.4c02450.s004&lt;/a&gt;</v>
      </c>
      <c r="AA10" t="str">
        <f t="shared" si="11"/>
        <v>jo5c00744_si_002.zip</v>
      </c>
      <c r="AB10" t="s">
        <v>1067</v>
      </c>
    </row>
    <row r="11" spans="1:28" x14ac:dyDescent="0.35">
      <c r="A11">
        <v>10</v>
      </c>
      <c r="B11" s="5" t="str">
        <f t="shared" si="0"/>
        <v>jo4c02450</v>
      </c>
      <c r="C11" s="1" t="str">
        <f t="shared" si="1"/>
        <v/>
      </c>
      <c r="D11">
        <f>IF(F11=1,"",IF(AND(D10="",S10=S11),"",S11-SUM(F$2:F10)))</f>
        <v>5</v>
      </c>
      <c r="E11" t="str">
        <f t="shared" si="2"/>
        <v>1</v>
      </c>
      <c r="F11">
        <v>0</v>
      </c>
      <c r="M11" t="str">
        <f t="shared" si="3"/>
        <v>/*5 jo4c02450 */"https://doi.org/10.1021/acs.joc.4c02450.s005",//Four Alkaloids from Alstonia scholaris with Antitumor Activity via Disturbing Glutathione Homeostasis</v>
      </c>
      <c r="N11" t="e">
        <f t="shared" si="4"/>
        <v>#N/A</v>
      </c>
      <c r="O11" t="b">
        <f t="shared" si="5"/>
        <v>0</v>
      </c>
      <c r="P11" s="13" t="s">
        <v>1017</v>
      </c>
      <c r="Q11" s="13" t="s">
        <v>1018</v>
      </c>
      <c r="R11" t="str">
        <f t="shared" si="6"/>
        <v>005</v>
      </c>
      <c r="S11">
        <f t="shared" si="12"/>
        <v>5</v>
      </c>
      <c r="T11" s="13" t="str">
        <f>VLOOKUP(Q11,original!B:C,2,FALSE)</f>
        <v>Four Alkaloids from Alstonia scholaris with Antitumor Activity via Disturbing Glutathione Homeostasis</v>
      </c>
      <c r="U11" s="13" t="s">
        <v>1010</v>
      </c>
      <c r="V11" t="str">
        <f t="shared" si="7"/>
        <v>jo4c02450</v>
      </c>
      <c r="W11" t="str">
        <f t="shared" si="8"/>
        <v>jo4c02450_si_005.zip</v>
      </c>
      <c r="X11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\thttps://acs.figshare.com/articles/dataset/Four_Alkaloids_from_i_Alstonia_scholaris_i_with_Antitumor_Activity_via_Disturbing_Glutathione_Homeostasis/28181978</v>
      </c>
      <c r="Y11" s="1" t="str">
        <f t="shared" si="13"/>
        <v/>
      </c>
      <c r="Z11" t="str">
        <f t="shared" si="10"/>
        <v>&lt;br&gt;&lt;a href="https://doi.org/10.1021/acs.joc.4c02450.s005"&gt;https://doi.org/10.1021/acs.joc.4c02450.s005&lt;/a&gt;</v>
      </c>
      <c r="AA11" t="str">
        <f t="shared" si="11"/>
        <v>jo5c00787_si_001.zip</v>
      </c>
      <c r="AB11" t="s">
        <v>1068</v>
      </c>
    </row>
    <row r="12" spans="1:28" x14ac:dyDescent="0.35">
      <c r="A12">
        <v>11</v>
      </c>
      <c r="B12" s="5" t="str">
        <f t="shared" si="0"/>
        <v>jo4c02450</v>
      </c>
      <c r="C12" s="1" t="str">
        <f t="shared" si="1"/>
        <v/>
      </c>
      <c r="D12">
        <f>IF(F12=1,"",IF(AND(D11="",S11=S12),"",S12-SUM(F$2:F11)))</f>
        <v>5</v>
      </c>
      <c r="E12" t="str">
        <f t="shared" si="2"/>
        <v>1</v>
      </c>
      <c r="F12">
        <v>0</v>
      </c>
      <c r="M12" t="str">
        <f t="shared" si="3"/>
        <v>/*5 jo4c02450 */"https://doi.org/10.1021/acs.joc.4c02450.s006",//Four Alkaloids from Alstonia scholaris with Antitumor Activity via Disturbing Glutathione Homeostasis</v>
      </c>
      <c r="N12" t="e">
        <f t="shared" si="4"/>
        <v>#N/A</v>
      </c>
      <c r="O12" t="b">
        <f t="shared" si="5"/>
        <v>0</v>
      </c>
      <c r="P12" s="13" t="s">
        <v>1015</v>
      </c>
      <c r="Q12" s="13" t="s">
        <v>1016</v>
      </c>
      <c r="R12" t="str">
        <f t="shared" si="6"/>
        <v>006</v>
      </c>
      <c r="S12">
        <f t="shared" si="12"/>
        <v>5</v>
      </c>
      <c r="T12" s="13" t="str">
        <f>VLOOKUP(Q12,original!B:C,2,FALSE)</f>
        <v>Four Alkaloids from Alstonia scholaris with Antitumor Activity via Disturbing Glutathione Homeostasis</v>
      </c>
      <c r="U12" s="13" t="s">
        <v>1010</v>
      </c>
      <c r="V12" t="str">
        <f t="shared" si="7"/>
        <v>jo4c02450</v>
      </c>
      <c r="W12" t="str">
        <f t="shared" si="8"/>
        <v>jo4c02450_si_006.zip</v>
      </c>
      <c r="X12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\thttps://acs.figshare.com/articles/dataset/Four_Alkaloids_from_i_Alstonia_scholaris_i_with_Antitumor_Activity_via_Disturbing_Glutathione_Homeostasis/28181978\thttps://acs.figshare.com/articles/dataset/Four_Alkaloids_from_i_Alstonia_scholaris_i_with_Antitumor_Activity_via_Disturbing_Glutathione_Homeostasis/28181990</v>
      </c>
      <c r="Y12" s="1" t="str">
        <f t="shared" si="13"/>
        <v/>
      </c>
      <c r="Z12" t="str">
        <f t="shared" si="10"/>
        <v>&lt;br&gt;&lt;a href="https://doi.org/10.1021/acs.joc.4c02450.s006"&gt;https://doi.org/10.1021/acs.joc.4c02450.s006&lt;/a&gt;</v>
      </c>
      <c r="AA12" t="str">
        <f t="shared" si="11"/>
        <v>jo5c00955_si_002.zip</v>
      </c>
      <c r="AB12" t="s">
        <v>1070</v>
      </c>
    </row>
    <row r="13" spans="1:28" x14ac:dyDescent="0.35">
      <c r="A13">
        <v>12</v>
      </c>
      <c r="B13" s="5" t="str">
        <f t="shared" si="0"/>
        <v>jo4c02450</v>
      </c>
      <c r="C13" s="1" t="str">
        <f t="shared" si="1"/>
        <v/>
      </c>
      <c r="D13">
        <f>IF(F13=1,"",IF(AND(D12="",S12=S13),"",S13-SUM(F$2:F12)))</f>
        <v>5</v>
      </c>
      <c r="E13" t="str">
        <f t="shared" si="2"/>
        <v>1</v>
      </c>
      <c r="F13">
        <v>0</v>
      </c>
      <c r="M13" t="str">
        <f t="shared" si="3"/>
        <v>/*5 jo4c02450 */"https://doi.org/10.1021/acs.joc.4c02450.s007",//Four Alkaloids from Alstonia scholaris with Antitumor Activity via Disturbing Glutathione Homeostasis</v>
      </c>
      <c r="N13" t="e">
        <f t="shared" si="4"/>
        <v>#N/A</v>
      </c>
      <c r="O13" t="b">
        <f t="shared" si="5"/>
        <v>0</v>
      </c>
      <c r="P13" s="13" t="s">
        <v>1013</v>
      </c>
      <c r="Q13" s="13" t="s">
        <v>1014</v>
      </c>
      <c r="R13" t="str">
        <f t="shared" si="6"/>
        <v>007</v>
      </c>
      <c r="S13">
        <f t="shared" si="12"/>
        <v>5</v>
      </c>
      <c r="T13" s="13" t="str">
        <f>VLOOKUP(Q13,original!B:C,2,FALSE)</f>
        <v>Four Alkaloids from Alstonia scholaris with Antitumor Activity via Disturbing Glutathione Homeostasis</v>
      </c>
      <c r="U13" s="13" t="s">
        <v>1010</v>
      </c>
      <c r="V13" t="str">
        <f t="shared" si="7"/>
        <v>jo4c02450</v>
      </c>
      <c r="W13" t="str">
        <f t="shared" si="8"/>
        <v>jo4c02450_si_007.zip</v>
      </c>
      <c r="X13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\thttps://acs.figshare.com/articles/dataset/Four_Alkaloids_from_i_Alstonia_scholaris_i_with_Antitumor_Activity_via_Disturbing_Glutathione_Homeostasis/28181978\thttps://acs.figshare.com/articles/dataset/Four_Alkaloids_from_i_Alstonia_scholaris_i_with_Antitumor_Activity_via_Disturbing_Glutathione_Homeostasis/28181990\thttps://acs.figshare.com/articles/dataset/Four_Alkaloids_from_i_Alstonia_scholaris_i_with_Antitumor_Activity_via_Disturbing_Glutathione_Homeostasis/28181993</v>
      </c>
      <c r="Y13" s="1" t="str">
        <f t="shared" si="13"/>
        <v/>
      </c>
      <c r="Z13" t="str">
        <f t="shared" si="10"/>
        <v>&lt;br&gt;&lt;a href="https://doi.org/10.1021/acs.joc.4c02450.s007"&gt;https://doi.org/10.1021/acs.joc.4c02450.s007&lt;/a&gt;</v>
      </c>
      <c r="AA13" t="str">
        <f t="shared" si="11"/>
        <v>jo5c01112_si_002.zip</v>
      </c>
      <c r="AB13" t="s">
        <v>1071</v>
      </c>
    </row>
    <row r="14" spans="1:28" x14ac:dyDescent="0.35">
      <c r="A14">
        <v>13</v>
      </c>
      <c r="B14" s="5" t="str">
        <f t="shared" si="0"/>
        <v>jo4c02450</v>
      </c>
      <c r="C14" s="1" t="str">
        <f t="shared" si="1"/>
        <v/>
      </c>
      <c r="D14">
        <f>IF(F14=1,"",IF(AND(D13="",S13=S14),"",S14-SUM(F$2:F13)))</f>
        <v>5</v>
      </c>
      <c r="E14" t="str">
        <f t="shared" si="2"/>
        <v>1</v>
      </c>
      <c r="F14">
        <v>0</v>
      </c>
      <c r="M14" t="str">
        <f t="shared" si="3"/>
        <v>/*5 jo4c02450 */"https://doi.org/10.1021/acs.joc.4c02450.s008",//Four Alkaloids from Alstonia scholaris with Antitumor Activity via Disturbing Glutathione Homeostasis</v>
      </c>
      <c r="N14" t="e">
        <f t="shared" si="4"/>
        <v>#N/A</v>
      </c>
      <c r="O14" t="b">
        <f t="shared" si="5"/>
        <v>0</v>
      </c>
      <c r="P14" s="13" t="s">
        <v>1011</v>
      </c>
      <c r="Q14" s="13" t="s">
        <v>1012</v>
      </c>
      <c r="R14" t="str">
        <f t="shared" si="6"/>
        <v>008</v>
      </c>
      <c r="S14">
        <f t="shared" si="12"/>
        <v>5</v>
      </c>
      <c r="T14" s="13" t="str">
        <f>VLOOKUP(Q14,original!B:C,2,FALSE)</f>
        <v>Four Alkaloids from Alstonia scholaris with Antitumor Activity via Disturbing Glutathione Homeostasis</v>
      </c>
      <c r="U14" s="13" t="s">
        <v>1010</v>
      </c>
      <c r="V14" t="str">
        <f t="shared" si="7"/>
        <v>jo4c02450</v>
      </c>
      <c r="W14" t="str">
        <f t="shared" si="8"/>
        <v>jo4c02450_si_008.zip</v>
      </c>
      <c r="X14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\thttps://acs.figshare.com/articles/dataset/Four_Alkaloids_from_i_Alstonia_scholaris_i_with_Antitumor_Activity_via_Disturbing_Glutathione_Homeostasis/28181978\thttps://acs.figshare.com/articles/dataset/Four_Alkaloids_from_i_Alstonia_scholaris_i_with_Antitumor_Activity_via_Disturbing_Glutathione_Homeostasis/28181990\thttps://acs.figshare.com/articles/dataset/Four_Alkaloids_from_i_Alstonia_scholaris_i_with_Antitumor_Activity_via_Disturbing_Glutathione_Homeostasis/28181993\thttps://acs.figshare.com/articles/dataset/Four_Alkaloids_from_i_Alstonia_scholaris_i_with_Antitumor_Activity_via_Disturbing_Glutathione_Homeostasis/28181996</v>
      </c>
      <c r="Y14" s="1" t="str">
        <f t="shared" si="13"/>
        <v/>
      </c>
      <c r="Z14" t="str">
        <f t="shared" si="10"/>
        <v>&lt;br&gt;&lt;a href="https://doi.org/10.1021/acs.joc.4c02450.s008"&gt;https://doi.org/10.1021/acs.joc.4c02450.s008&lt;/a&gt;</v>
      </c>
      <c r="AA14" t="str">
        <f t="shared" si="11"/>
        <v>jo5c01225_si_001.zip</v>
      </c>
      <c r="AB14" t="s">
        <v>1072</v>
      </c>
    </row>
    <row r="15" spans="1:28" x14ac:dyDescent="0.35">
      <c r="A15">
        <v>14</v>
      </c>
      <c r="B15" s="5" t="str">
        <f t="shared" si="0"/>
        <v>jo4c02450</v>
      </c>
      <c r="C15" s="1" t="str">
        <f t="shared" si="1"/>
        <v>jo4c02450</v>
      </c>
      <c r="D15">
        <f>IF(F15=1,"",IF(AND(D14="",S14=S15),"",S15-SUM(F$2:F14)))</f>
        <v>5</v>
      </c>
      <c r="E15" t="str">
        <f t="shared" si="2"/>
        <v>1</v>
      </c>
      <c r="F15">
        <v>0</v>
      </c>
      <c r="H15">
        <v>8</v>
      </c>
      <c r="I15">
        <v>25</v>
      </c>
      <c r="M15" t="str">
        <f t="shared" si="3"/>
        <v>/*5 jo4c02450 */"https://doi.org/10.1021/acs.joc.4c02450.s009",//Four Alkaloids from Alstonia scholaris with Antitumor Activity via Disturbing Glutathione Homeostasis</v>
      </c>
      <c r="N15" t="e">
        <f t="shared" si="4"/>
        <v>#N/A</v>
      </c>
      <c r="O15" t="b">
        <f t="shared" si="5"/>
        <v>0</v>
      </c>
      <c r="P15" s="13" t="s">
        <v>1007</v>
      </c>
      <c r="Q15" s="13" t="s">
        <v>1008</v>
      </c>
      <c r="R15" t="str">
        <f t="shared" si="6"/>
        <v>009</v>
      </c>
      <c r="S15">
        <f t="shared" si="12"/>
        <v>5</v>
      </c>
      <c r="T15" s="13" t="str">
        <f>VLOOKUP(Q15,original!B:C,2,FALSE)</f>
        <v>Four Alkaloids from Alstonia scholaris with Antitumor Activity via Disturbing Glutathione Homeostasis</v>
      </c>
      <c r="U15" s="13" t="s">
        <v>1010</v>
      </c>
      <c r="V15" t="str">
        <f t="shared" si="7"/>
        <v>jo4c02450</v>
      </c>
      <c r="W15" t="str">
        <f t="shared" si="8"/>
        <v>jo4c02450_si_009.zip</v>
      </c>
      <c r="X15" t="str">
        <f t="shared" si="9"/>
        <v>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\thttps://acs.figshare.com/articles/dataset/Four_Alkaloids_from_i_Alstonia_scholaris_i_with_Antitumor_Activity_via_Disturbing_Glutathione_Homeostasis/28181978\thttps://acs.figshare.com/articles/dataset/Four_Alkaloids_from_i_Alstonia_scholaris_i_with_Antitumor_Activity_via_Disturbing_Glutathione_Homeostasis/28181990\thttps://acs.figshare.com/articles/dataset/Four_Alkaloids_from_i_Alstonia_scholaris_i_with_Antitumor_Activity_via_Disturbing_Glutathione_Homeostasis/28181993\thttps://acs.figshare.com/articles/dataset/Four_Alkaloids_from_i_Alstonia_scholaris_i_with_Antitumor_Activity_via_Disturbing_Glutathione_Homeostasis/28181996\thttps://acs.figshare.com/articles/dataset/Four_Alkaloids_from_i_Alstonia_scholaris_i_with_Antitumor_Activity_via_Disturbing_Glutathione_Homeostasis/28181999</v>
      </c>
      <c r="Y15" s="1" t="str">
        <f t="shared" si="13"/>
        <v>--localSource c:/temp/acs2/data --targetDir c:/temp/acs2/$DOI$ --noDownload --readOnly  --pubDOI https://doi.org/10.1021/acs.joc.4c02450 --dataDOI "10.1021/acs.joc.4c02450https://acs.figshare.com/articles/dataset/Four_Alkaloids_from_i_Alstonia_scholaris_i_with_Antitumor_Activity_via_Disturbing_Glutathione_Homeostasis/28181963\thttps://acs.figshare.com/articles/dataset/Four_Alkaloids_from_i_Alstonia_scholaris_i_with_Antitumor_Activity_via_Disturbing_Glutathione_Homeostasis/28181966\thttps://acs.figshare.com/articles/dataset/Four_Alkaloids_from_i_Alstonia_scholaris_i_with_Antitumor_Activity_via_Disturbing_Glutathione_Homeostasis/28181969\thttps://acs.figshare.com/articles/dataset/Four_Alkaloids_from_i_Alstonia_scholaris_i_with_Antitumor_Activity_via_Disturbing_Glutathione_Homeostasis/28181978\thttps://acs.figshare.com/articles/dataset/Four_Alkaloids_from_i_Alstonia_scholaris_i_with_Antitumor_Activity_via_Disturbing_Glutathione_Homeostasis/28181990\thttps://acs.figshare.com/articles/dataset/Four_Alkaloids_from_i_Alstonia_scholaris_i_with_Antitumor_Activity_via_Disturbing_Glutathione_Homeostasis/28181993\thttps://acs.figshare.com/articles/dataset/Four_Alkaloids_from_i_Alstonia_scholaris_i_with_Antitumor_Activity_via_Disturbing_Glutathione_Homeostasis/28181996\thttps://acs.figshare.com/articles/dataset/Four_Alkaloids_from_i_Alstonia_scholaris_i_with_Antitumor_Activity_via_Disturbing_Glutathione_Homeostasis/28181999"</v>
      </c>
      <c r="Z15" t="str">
        <f t="shared" si="10"/>
        <v>&lt;br&gt;&lt;a href="https://doi.org/10.1021/acs.joc.4c02450.s009"&gt;https://doi.org/10.1021/acs.joc.4c02450.s009&lt;/a&gt;</v>
      </c>
      <c r="AA15" t="str">
        <f t="shared" si="11"/>
        <v>jo5c01560_si_003.zip</v>
      </c>
      <c r="AB15" t="s">
        <v>1074</v>
      </c>
    </row>
    <row r="16" spans="1:28" x14ac:dyDescent="0.35">
      <c r="A16">
        <v>15</v>
      </c>
      <c r="B16" s="5" t="str">
        <f t="shared" si="0"/>
        <v>jo4c02490</v>
      </c>
      <c r="C16" s="1" t="str">
        <f t="shared" si="1"/>
        <v>jo4c02490</v>
      </c>
      <c r="D16">
        <f>IF(F16=1,"",IF(AND(D15="",S15=S16),"",S16-SUM(F$2:F15)))</f>
        <v>6</v>
      </c>
      <c r="E16" t="str">
        <f t="shared" si="2"/>
        <v>0</v>
      </c>
      <c r="F16">
        <v>0</v>
      </c>
      <c r="H16">
        <v>48</v>
      </c>
      <c r="I16">
        <v>107</v>
      </c>
      <c r="M16" t="str">
        <f t="shared" si="3"/>
        <v>/*6 jo4c02490 */"https://doi.org/10.1021/acs.joc.4c02490.s002",//CO2•– Enabled Synthesis of Phenanthridinones, Oxindoles, Isoindolinones, and Spirolactams</v>
      </c>
      <c r="N16" t="e">
        <f t="shared" si="4"/>
        <v>#N/A</v>
      </c>
      <c r="O16" t="b">
        <f t="shared" si="5"/>
        <v>0</v>
      </c>
      <c r="P16" s="13" t="s">
        <v>876</v>
      </c>
      <c r="Q16" s="13" t="s">
        <v>877</v>
      </c>
      <c r="R16" t="str">
        <f t="shared" si="6"/>
        <v>002</v>
      </c>
      <c r="S16">
        <f t="shared" si="12"/>
        <v>6</v>
      </c>
      <c r="T16" s="13" t="str">
        <f>VLOOKUP(Q16,original!B:C,2,FALSE)</f>
        <v>CO2•– Enabled Synthesis of Phenanthridinones, Oxindoles, Isoindolinones, and Spirolactams</v>
      </c>
      <c r="U16" s="13" t="s">
        <v>878</v>
      </c>
      <c r="V16" t="str">
        <f t="shared" si="7"/>
        <v>jo4c02490</v>
      </c>
      <c r="W16" t="str">
        <f t="shared" si="8"/>
        <v>jo4c02490_si_002.zip</v>
      </c>
      <c r="X16" t="str">
        <f t="shared" si="9"/>
        <v>https://acs.figshare.com/articles/dataset/CO_sub_2_sub_sup_sup_Enabled_Synthesis_of_Phenanthridinones_Oxindoles_Isoindolinones_and_Spirolactams/28516677</v>
      </c>
      <c r="Y16" s="1" t="str">
        <f t="shared" si="13"/>
        <v>--localSource c:/temp/acs2/data --targetDir c:/temp/acs2/$DOI$ --noDownload --readOnly  --pubDOI https://doi.org/10.1021/acs.joc.4c02490 --dataDOI "10.1021/acs.joc.4c02490https://acs.figshare.com/articles/dataset/CO_sub_2_sub_sup_sup_Enabled_Synthesis_of_Phenanthridinones_Oxindoles_Isoindolinones_and_Spirolactams/28516677"</v>
      </c>
      <c r="Z16" t="str">
        <f t="shared" si="10"/>
        <v>&lt;br&gt;&lt;a href="https://doi.org/10.1021/acs.joc.4c02490.s002"&gt;https://doi.org/10.1021/acs.joc.4c02490.s002&lt;/a&gt;</v>
      </c>
      <c r="AA16" t="str">
        <f t="shared" si="11"/>
        <v>jo5c01560_si_007.zip</v>
      </c>
      <c r="AB16" t="s">
        <v>1078</v>
      </c>
    </row>
    <row r="17" spans="1:28" x14ac:dyDescent="0.35">
      <c r="A17">
        <v>16</v>
      </c>
      <c r="B17" s="5" t="str">
        <f t="shared" si="0"/>
        <v>jo4c02546</v>
      </c>
      <c r="C17" s="1" t="str">
        <f t="shared" si="1"/>
        <v>#jo4c02546 CALCULATION ONLY XYZ</v>
      </c>
      <c r="D17" t="str">
        <f>IF(F17=1,"",IF(AND(D16="",S16=S17),"",S17-SUM(F$2:F16)))</f>
        <v/>
      </c>
      <c r="E17" t="str">
        <f t="shared" si="2"/>
        <v>0</v>
      </c>
      <c r="F17">
        <v>1</v>
      </c>
      <c r="G17" t="s">
        <v>1053</v>
      </c>
      <c r="M17" t="str">
        <f t="shared" si="3"/>
        <v/>
      </c>
      <c r="N17" t="e">
        <f t="shared" si="4"/>
        <v>#N/A</v>
      </c>
      <c r="O17" t="b">
        <f t="shared" si="5"/>
        <v>0</v>
      </c>
      <c r="P17" s="13" t="s">
        <v>929</v>
      </c>
      <c r="Q17" s="13" t="s">
        <v>930</v>
      </c>
      <c r="R17" t="str">
        <f t="shared" si="6"/>
        <v>002</v>
      </c>
      <c r="S17">
        <f t="shared" si="12"/>
        <v>7</v>
      </c>
      <c r="T17" s="13" t="str">
        <f>VLOOKUP(Q17,original!B:C,2,FALSE)</f>
        <v>Synergy-Promoted Specific Alkyltriphenylphosphonium Binding to CB[8]</v>
      </c>
      <c r="U17" s="13" t="s">
        <v>932</v>
      </c>
      <c r="V17" t="str">
        <f t="shared" si="7"/>
        <v>jo4c02546</v>
      </c>
      <c r="W17" t="str">
        <f t="shared" si="8"/>
        <v>jo4c02546_si_002.zip</v>
      </c>
      <c r="X17" t="str">
        <f t="shared" si="9"/>
        <v>https://acs.figshare.com/articles/dataset/Synergy-Promoted_Specific_Alkyltriphenylphosphonium_Binding_to_CB_8_/28379677</v>
      </c>
      <c r="Y17" s="1" t="str">
        <f t="shared" si="13"/>
        <v>--localSource c:/temp/acs2/data --targetDir c:/temp/acs2/$DOI$ --noDownload --readOnly  --pubDOI https://doi.org/10.1021/acs.joc.4c02546 --dataDOI "10.1021/acs.joc.4c02546https://acs.figshare.com/articles/dataset/Synergy-Promoted_Specific_Alkyltriphenylphosphonium_Binding_to_CB_8_/28379677"</v>
      </c>
      <c r="Z17" t="str">
        <f t="shared" si="10"/>
        <v>&lt;br&gt;&lt;a href="https://doi.org/10.1021/acs.joc.4c02546.s002"&gt;https://doi.org/10.1021/acs.joc.4c02546.s002&lt;/a&gt;</v>
      </c>
      <c r="AA17" t="str">
        <f t="shared" si="11"/>
        <v>jo5c01560_si_010.zip</v>
      </c>
      <c r="AB17" t="s">
        <v>1081</v>
      </c>
    </row>
    <row r="18" spans="1:28" x14ac:dyDescent="0.35">
      <c r="A18">
        <v>17</v>
      </c>
      <c r="B18" s="5" t="str">
        <f t="shared" si="0"/>
        <v>jo4c02574</v>
      </c>
      <c r="C18" s="1" t="str">
        <f t="shared" si="1"/>
        <v>#jo4c02574 XLS</v>
      </c>
      <c r="D18" t="str">
        <f>IF(F18=1,"",IF(AND(D17="",S17=S18),"",S18-SUM(F$2:F17)))</f>
        <v/>
      </c>
      <c r="E18" t="str">
        <f t="shared" si="2"/>
        <v>0</v>
      </c>
      <c r="F18">
        <v>1</v>
      </c>
      <c r="G18" t="s">
        <v>1060</v>
      </c>
      <c r="M18" t="str">
        <f t="shared" si="3"/>
        <v/>
      </c>
      <c r="N18" t="str">
        <f t="shared" si="4"/>
        <v>jo4c02574_si_002.xls</v>
      </c>
      <c r="O18" t="b">
        <f t="shared" si="5"/>
        <v>1</v>
      </c>
      <c r="P18" s="13" t="s">
        <v>926</v>
      </c>
      <c r="Q18" s="13" t="s">
        <v>927</v>
      </c>
      <c r="R18" t="str">
        <f t="shared" si="6"/>
        <v>002</v>
      </c>
      <c r="S18">
        <f t="shared" si="12"/>
        <v>8</v>
      </c>
      <c r="T18" s="13" t="str">
        <f>VLOOKUP(Q18,original!B:C,2,FALSE)</f>
        <v>C–H Aminoalkylation of 5‑Membered Heterocycles: Influence of Descriptors, Data Set Size, and Data Quality on the Predictiveness of Machine Learning Models and Expansion of the Substrate Space Beyond 1,3-Azoles</v>
      </c>
      <c r="U18" s="13" t="s">
        <v>928</v>
      </c>
      <c r="V18" t="str">
        <f t="shared" si="7"/>
        <v>jo4c02574</v>
      </c>
      <c r="W18" t="str">
        <f t="shared" si="8"/>
        <v>jo4c02574_si_002.zip</v>
      </c>
      <c r="X18" t="str">
        <f t="shared" si="9"/>
        <v>https://acs.figshare.com/articles/dataset/C_H_Aminoalkylation_of_5_Membered_Heterocycles_Influence_of_Descriptors_Data_Set_Size_and_Data_Quality_on_the_Predictiveness_of_Machine_Learning_Models_and_Expansion_of_the_Substrate_Space_Beyond_1_3-Azoles/28395051</v>
      </c>
      <c r="Y18" s="1" t="str">
        <f t="shared" si="13"/>
        <v>--localSource c:/temp/acs2/data --targetDir c:/temp/acs2/$DOI$ --noDownload --readOnly  --pubDOI https://doi.org/10.1021/acs.joc.4c02574 --dataDOI "10.1021/acs.joc.4c02574https://acs.figshare.com/articles/dataset/C_H_Aminoalkylation_of_5_Membered_Heterocycles_Influence_of_Descriptors_Data_Set_Size_and_Data_Quality_on_the_Predictiveness_of_Machine_Learning_Models_and_Expansion_of_the_Substrate_Space_Beyond_1_3-Azoles/28395051"</v>
      </c>
      <c r="Z18" t="str">
        <f t="shared" si="10"/>
        <v>&lt;br&gt;&lt;a href="https://doi.org/10.1021/acs.joc.4c02574.s002"&gt;https://doi.org/10.1021/acs.joc.4c02574.s002&lt;/a&gt;</v>
      </c>
      <c r="AA18" t="str">
        <f t="shared" si="11"/>
        <v>jo5c01560_si_012.zip</v>
      </c>
      <c r="AB18" t="s">
        <v>1083</v>
      </c>
    </row>
    <row r="19" spans="1:28" x14ac:dyDescent="0.35">
      <c r="A19">
        <v>18</v>
      </c>
      <c r="B19" s="5" t="str">
        <f t="shared" si="0"/>
        <v>jo4c02600</v>
      </c>
      <c r="C19" s="1" t="str">
        <f t="shared" si="1"/>
        <v>jo4c02600</v>
      </c>
      <c r="D19">
        <f>IF(F19=1,"",IF(AND(D18="",S18=S19),"",S19-SUM(F$2:F18)))</f>
        <v>7</v>
      </c>
      <c r="E19" t="str">
        <f t="shared" si="2"/>
        <v>0</v>
      </c>
      <c r="F19">
        <v>0</v>
      </c>
      <c r="H19">
        <v>33</v>
      </c>
      <c r="I19">
        <v>71</v>
      </c>
      <c r="M19" t="str">
        <f t="shared" si="3"/>
        <v>/*7 jo4c02600 */"https://doi.org/10.1021/acs.joc.4c02600.s002",//Visible-Light-Mediated Three-Component Alkene 1,2-Alkylpyridylation Reaction Using Alkylboronic Acids as Radical Precursors for the Synthesis of 4‑Alkylpyridines</v>
      </c>
      <c r="N19" t="e">
        <f t="shared" si="4"/>
        <v>#N/A</v>
      </c>
      <c r="O19" t="b">
        <f t="shared" si="5"/>
        <v>0</v>
      </c>
      <c r="P19" s="13" t="s">
        <v>859</v>
      </c>
      <c r="Q19" s="13" t="s">
        <v>860</v>
      </c>
      <c r="R19" t="str">
        <f t="shared" si="6"/>
        <v>002</v>
      </c>
      <c r="S19">
        <f t="shared" si="12"/>
        <v>9</v>
      </c>
      <c r="T19" s="13" t="str">
        <f>VLOOKUP(Q19,original!B:C,2,FALSE)</f>
        <v>Visible-Light-Mediated Three-Component Alkene 1,2-Alkylpyridylation Reaction Using Alkylboronic Acids as Radical Precursors for the Synthesis of 4‑Alkylpyridines</v>
      </c>
      <c r="U19" s="13" t="s">
        <v>861</v>
      </c>
      <c r="V19" t="str">
        <f t="shared" si="7"/>
        <v>jo4c02600</v>
      </c>
      <c r="W19" t="str">
        <f t="shared" si="8"/>
        <v>jo4c02600_si_002.zip</v>
      </c>
      <c r="X19" t="str">
        <f t="shared" si="9"/>
        <v>https://acs.figshare.com/articles/dataset/Visible-Light-Mediated_Three-Component_Alkene_1_2-Alkylpyridylation_Reaction_Using_Alkylboronic_Acids_as_Radical_Precursors_for_the_Synthesis_of_4_Alkylpyridines/28524997</v>
      </c>
      <c r="Y19" s="1" t="str">
        <f t="shared" si="13"/>
        <v>--localSource c:/temp/acs2/data --targetDir c:/temp/acs2/$DOI$ --noDownload --readOnly  --pubDOI https://doi.org/10.1021/acs.joc.4c02600 --dataDOI "10.1021/acs.joc.4c02600https://acs.figshare.com/articles/dataset/Visible-Light-Mediated_Three-Component_Alkene_1_2-Alkylpyridylation_Reaction_Using_Alkylboronic_Acids_as_Radical_Precursors_for_the_Synthesis_of_4_Alkylpyridines/28524997"</v>
      </c>
      <c r="Z19" t="str">
        <f t="shared" si="10"/>
        <v>&lt;br&gt;&lt;a href="https://doi.org/10.1021/acs.joc.4c02600.s002"&gt;https://doi.org/10.1021/acs.joc.4c02600.s002&lt;/a&gt;</v>
      </c>
      <c r="AA19" t="str">
        <f t="shared" si="11"/>
        <v>jo5c01560_si_005.zip</v>
      </c>
      <c r="AB19" t="s">
        <v>1076</v>
      </c>
    </row>
    <row r="20" spans="1:28" x14ac:dyDescent="0.35">
      <c r="A20">
        <v>19</v>
      </c>
      <c r="B20" s="5" t="str">
        <f t="shared" si="0"/>
        <v>jo4c02622</v>
      </c>
      <c r="C20" s="1" t="str">
        <f t="shared" si="1"/>
        <v/>
      </c>
      <c r="D20">
        <f>IF(F20=1,"",IF(AND(D19="",S19=S20),"",S20-SUM(F$2:F19)))</f>
        <v>8</v>
      </c>
      <c r="E20" t="str">
        <f t="shared" si="2"/>
        <v>0</v>
      </c>
      <c r="F20">
        <v>0</v>
      </c>
      <c r="M20" t="str">
        <f t="shared" si="3"/>
        <v>/*8 jo4c02622 */"https://doi.org/10.1021/acs.joc.4c02622.s001",//Direct Synthesis of 2‑Functionalized 3‑Nitroindoles from Diazo(nitro)acetanilides</v>
      </c>
      <c r="N20" t="e">
        <f t="shared" si="4"/>
        <v>#N/A</v>
      </c>
      <c r="O20" t="b">
        <f t="shared" si="5"/>
        <v>0</v>
      </c>
      <c r="P20" s="13" t="s">
        <v>1036</v>
      </c>
      <c r="Q20" s="13" t="s">
        <v>1037</v>
      </c>
      <c r="R20" t="str">
        <f t="shared" si="6"/>
        <v>001</v>
      </c>
      <c r="S20">
        <f t="shared" si="12"/>
        <v>10</v>
      </c>
      <c r="T20" s="13" t="str">
        <f>VLOOKUP(Q20,original!B:C,2,FALSE)</f>
        <v>Direct Synthesis of 2‑Functionalized 3‑Nitroindoles from Diazo(nitro)acetanilides</v>
      </c>
      <c r="U20" s="13" t="s">
        <v>1033</v>
      </c>
      <c r="V20" t="str">
        <f t="shared" si="7"/>
        <v>jo4c02622</v>
      </c>
      <c r="W20" t="str">
        <f t="shared" si="8"/>
        <v>jo4c02622_si_001.zip</v>
      </c>
      <c r="X20" t="str">
        <f t="shared" si="9"/>
        <v>https://acs.figshare.com/articles/dataset/Direct_Synthesis_of_2_Functionalized_3_Nitroindoles_from_Diazo_nitro_acetanilides/28156320</v>
      </c>
      <c r="Y20" s="1" t="str">
        <f t="shared" si="13"/>
        <v/>
      </c>
      <c r="Z20" t="str">
        <f t="shared" si="10"/>
        <v>&lt;br&gt;&lt;a href="https://doi.org/10.1021/acs.joc.4c02622.s001"&gt;https://doi.org/10.1021/acs.joc.4c02622.s001&lt;/a&gt;</v>
      </c>
      <c r="AA20" t="str">
        <f t="shared" si="11"/>
        <v>jo5c01774_si_002.zip</v>
      </c>
      <c r="AB20" t="s">
        <v>1086</v>
      </c>
    </row>
    <row r="21" spans="1:28" x14ac:dyDescent="0.35">
      <c r="A21">
        <v>20</v>
      </c>
      <c r="B21" s="5" t="str">
        <f t="shared" si="0"/>
        <v>jo4c02622</v>
      </c>
      <c r="C21" s="1" t="str">
        <f t="shared" si="1"/>
        <v/>
      </c>
      <c r="D21">
        <f>IF(F21=1,"",IF(AND(D20="",S20=S21),"",S21-SUM(F$2:F20)))</f>
        <v>8</v>
      </c>
      <c r="E21" t="str">
        <f t="shared" si="2"/>
        <v>1</v>
      </c>
      <c r="F21">
        <v>0</v>
      </c>
      <c r="M21" t="str">
        <f t="shared" si="3"/>
        <v>/*8 jo4c02622 */"https://doi.org/10.1021/acs.joc.4c02622.s002",//Direct Synthesis of 2‑Functionalized 3‑Nitroindoles from Diazo(nitro)acetanilides</v>
      </c>
      <c r="N21" t="e">
        <f t="shared" si="4"/>
        <v>#N/A</v>
      </c>
      <c r="O21" t="b">
        <f t="shared" si="5"/>
        <v>0</v>
      </c>
      <c r="P21" s="13" t="s">
        <v>1034</v>
      </c>
      <c r="Q21" s="13" t="s">
        <v>1035</v>
      </c>
      <c r="R21" t="str">
        <f t="shared" si="6"/>
        <v>002</v>
      </c>
      <c r="S21">
        <f t="shared" si="12"/>
        <v>10</v>
      </c>
      <c r="T21" s="13" t="str">
        <f>VLOOKUP(Q21,original!B:C,2,FALSE)</f>
        <v>Direct Synthesis of 2‑Functionalized 3‑Nitroindoles from Diazo(nitro)acetanilides</v>
      </c>
      <c r="U21" s="13" t="s">
        <v>1033</v>
      </c>
      <c r="V21" t="str">
        <f t="shared" si="7"/>
        <v>jo4c02622</v>
      </c>
      <c r="W21" t="str">
        <f t="shared" si="8"/>
        <v>jo4c02622_si_002.zip</v>
      </c>
      <c r="X21" t="str">
        <f t="shared" si="9"/>
        <v>https://acs.figshare.com/articles/dataset/Direct_Synthesis_of_2_Functionalized_3_Nitroindoles_from_Diazo_nitro_acetanilides/28156320\thttps://acs.figshare.com/articles/dataset/Direct_Synthesis_of_2_Functionalized_3_Nitroindoles_from_Diazo_nitro_acetanilides/28156323</v>
      </c>
      <c r="Y21" s="1" t="str">
        <f t="shared" si="13"/>
        <v/>
      </c>
      <c r="Z21" t="str">
        <f t="shared" si="10"/>
        <v>&lt;br&gt;&lt;a href="https://doi.org/10.1021/acs.joc.4c02622.s002"&gt;https://doi.org/10.1021/acs.joc.4c02622.s002&lt;/a&gt;</v>
      </c>
      <c r="AA21" t="str">
        <f t="shared" si="11"/>
        <v>jo5c01560_si_004.zip</v>
      </c>
      <c r="AB21" t="s">
        <v>1075</v>
      </c>
    </row>
    <row r="22" spans="1:28" x14ac:dyDescent="0.35">
      <c r="A22">
        <v>21</v>
      </c>
      <c r="B22" s="5" t="str">
        <f t="shared" si="0"/>
        <v>jo4c02622</v>
      </c>
      <c r="C22" s="1" t="str">
        <f t="shared" si="1"/>
        <v>jo4c02622</v>
      </c>
      <c r="D22">
        <f>IF(F22=1,"",IF(AND(D21="",S21=S22),"",S22-SUM(F$2:F21)))</f>
        <v>8</v>
      </c>
      <c r="E22" t="str">
        <f t="shared" si="2"/>
        <v>1</v>
      </c>
      <c r="F22">
        <v>0</v>
      </c>
      <c r="H22">
        <v>65</v>
      </c>
      <c r="I22">
        <v>154</v>
      </c>
      <c r="J22">
        <v>65</v>
      </c>
      <c r="M22" t="str">
        <f t="shared" si="3"/>
        <v>/*8 jo4c02622 */"https://doi.org/10.1021/acs.joc.4c02622.s004",//Direct Synthesis of 2‑Functionalized 3‑Nitroindoles from Diazo(nitro)acetanilides</v>
      </c>
      <c r="N22" t="e">
        <f t="shared" si="4"/>
        <v>#N/A</v>
      </c>
      <c r="O22" t="b">
        <f t="shared" si="5"/>
        <v>0</v>
      </c>
      <c r="P22" s="13" t="s">
        <v>1031</v>
      </c>
      <c r="Q22" s="13" t="s">
        <v>1032</v>
      </c>
      <c r="R22" t="str">
        <f t="shared" si="6"/>
        <v>004</v>
      </c>
      <c r="S22">
        <f t="shared" si="12"/>
        <v>10</v>
      </c>
      <c r="T22" s="13" t="str">
        <f>VLOOKUP(Q22,original!B:C,2,FALSE)</f>
        <v>Direct Synthesis of 2‑Functionalized 3‑Nitroindoles from Diazo(nitro)acetanilides</v>
      </c>
      <c r="U22" s="13" t="s">
        <v>1033</v>
      </c>
      <c r="V22" t="str">
        <f t="shared" si="7"/>
        <v>jo4c02622</v>
      </c>
      <c r="W22" t="str">
        <f t="shared" si="8"/>
        <v>jo4c02622_si_004.zip</v>
      </c>
      <c r="X22" t="str">
        <f t="shared" si="9"/>
        <v>https://acs.figshare.com/articles/dataset/Direct_Synthesis_of_2_Functionalized_3_Nitroindoles_from_Diazo_nitro_acetanilides/28156320\thttps://acs.figshare.com/articles/dataset/Direct_Synthesis_of_2_Functionalized_3_Nitroindoles_from_Diazo_nitro_acetanilides/28156323\thttps://acs.figshare.com/articles/dataset/Direct_Synthesis_of_2_Functionalized_3_Nitroindoles_from_Diazo_nitro_acetanilides/28156329</v>
      </c>
      <c r="Y22" s="1" t="str">
        <f t="shared" si="13"/>
        <v>--localSource c:/temp/acs2/data --targetDir c:/temp/acs2/$DOI$ --noDownload --readOnly  --pubDOI https://doi.org/10.1021/acs.joc.4c02622 --dataDOI "10.1021/acs.joc.4c02622https://acs.figshare.com/articles/dataset/Direct_Synthesis_of_2_Functionalized_3_Nitroindoles_from_Diazo_nitro_acetanilides/28156320\thttps://acs.figshare.com/articles/dataset/Direct_Synthesis_of_2_Functionalized_3_Nitroindoles_from_Diazo_nitro_acetanilides/28156323\thttps://acs.figshare.com/articles/dataset/Direct_Synthesis_of_2_Functionalized_3_Nitroindoles_from_Diazo_nitro_acetanilides/28156329"</v>
      </c>
      <c r="Z22" t="str">
        <f t="shared" si="10"/>
        <v>&lt;br&gt;&lt;a href="https://doi.org/10.1021/acs.joc.4c02622.s004"&gt;https://doi.org/10.1021/acs.joc.4c02622.s004&lt;/a&gt;</v>
      </c>
      <c r="AA22" t="str">
        <f t="shared" si="11"/>
        <v>jo5c01560_si_011.zip</v>
      </c>
      <c r="AB22" t="s">
        <v>1082</v>
      </c>
    </row>
    <row r="23" spans="1:28" x14ac:dyDescent="0.35">
      <c r="A23">
        <v>22</v>
      </c>
      <c r="B23" s="5" t="str">
        <f t="shared" si="0"/>
        <v>jo4c02634</v>
      </c>
      <c r="C23" s="1" t="str">
        <f t="shared" si="1"/>
        <v>jo4c02634</v>
      </c>
      <c r="D23">
        <f>IF(F23=1,"",IF(AND(D22="",S22=S23),"",S23-SUM(F$2:F22)))</f>
        <v>9</v>
      </c>
      <c r="E23" t="str">
        <f t="shared" si="2"/>
        <v>0</v>
      </c>
      <c r="F23">
        <v>0</v>
      </c>
      <c r="H23">
        <v>24</v>
      </c>
      <c r="I23">
        <v>47</v>
      </c>
      <c r="M23" t="str">
        <f t="shared" si="3"/>
        <v>/*9 jo4c02634 */"https://doi.org/10.1021/acs.joc.4c02634.s002",//Synthesis of N‑Heterocycle-Ligated Porphyrins Using Iodobenzene Diacetate Enabled Regioselective Cross-Dehydrogenation of Porphyrins and NH-Heteroaromatics</v>
      </c>
      <c r="N23" t="e">
        <f t="shared" si="4"/>
        <v>#N/A</v>
      </c>
      <c r="O23" t="b">
        <f t="shared" si="5"/>
        <v>0</v>
      </c>
      <c r="P23" s="13" t="s">
        <v>873</v>
      </c>
      <c r="Q23" s="13" t="s">
        <v>874</v>
      </c>
      <c r="R23" t="str">
        <f t="shared" si="6"/>
        <v>002</v>
      </c>
      <c r="S23">
        <f t="shared" si="12"/>
        <v>11</v>
      </c>
      <c r="T23" s="13" t="str">
        <f>VLOOKUP(Q23,original!B:C,2,FALSE)</f>
        <v>Synthesis of N‑Heterocycle-Ligated Porphyrins Using Iodobenzene Diacetate Enabled Regioselective Cross-Dehydrogenation of Porphyrins and NH-Heteroaromatics</v>
      </c>
      <c r="U23" s="13" t="s">
        <v>875</v>
      </c>
      <c r="V23" t="str">
        <f t="shared" si="7"/>
        <v>jo4c02634</v>
      </c>
      <c r="W23" t="str">
        <f t="shared" si="8"/>
        <v>jo4c02634_si_002.zip</v>
      </c>
      <c r="X23" t="str">
        <f t="shared" si="9"/>
        <v>https://acs.figshare.com/articles/dataset/Synthesis_of_N_Heterocycle-Ligated_Porphyrins_Using_Iodobenzene_Diacetate_Enabled_Regioselective_Cross-Dehydrogenation_of_Porphyrins_and_NH-Heteroaromatics/28519682</v>
      </c>
      <c r="Y23" s="1" t="str">
        <f t="shared" si="13"/>
        <v>--localSource c:/temp/acs2/data --targetDir c:/temp/acs2/$DOI$ --noDownload --readOnly  --pubDOI https://doi.org/10.1021/acs.joc.4c02634 --dataDOI "10.1021/acs.joc.4c02634https://acs.figshare.com/articles/dataset/Synthesis_of_N_Heterocycle-Ligated_Porphyrins_Using_Iodobenzene_Diacetate_Enabled_Regioselective_Cross-Dehydrogenation_of_Porphyrins_and_NH-Heteroaromatics/28519682"</v>
      </c>
      <c r="Z23" t="str">
        <f t="shared" si="10"/>
        <v>&lt;br&gt;&lt;a href="https://doi.org/10.1021/acs.joc.4c02634.s002"&gt;https://doi.org/10.1021/acs.joc.4c02634.s002&lt;/a&gt;</v>
      </c>
      <c r="AA23" t="str">
        <f t="shared" si="11"/>
        <v>jo5c01560_si_008.zip</v>
      </c>
      <c r="AB23" t="s">
        <v>1079</v>
      </c>
    </row>
    <row r="24" spans="1:28" x14ac:dyDescent="0.35">
      <c r="A24">
        <v>23</v>
      </c>
      <c r="B24" s="5" t="str">
        <f t="shared" si="0"/>
        <v>jo4c02638</v>
      </c>
      <c r="C24" s="1" t="str">
        <f t="shared" si="1"/>
        <v>jo4c02638</v>
      </c>
      <c r="D24">
        <f>IF(F24=1,"",IF(AND(D23="",S23=S24),"",S24-SUM(F$2:F23)))</f>
        <v>10</v>
      </c>
      <c r="E24" t="str">
        <f t="shared" si="2"/>
        <v>0</v>
      </c>
      <c r="F24">
        <v>0</v>
      </c>
      <c r="H24">
        <v>86</v>
      </c>
      <c r="I24">
        <v>179</v>
      </c>
      <c r="M24" t="str">
        <f t="shared" si="3"/>
        <v>/*10 jo4c02638 */"https://doi.org/10.1021/acs.joc.4c02638.s002",//NHC-BH3‑Mediated Reduction of Sulfonyl Hydrazides into Disulfides and Further Cross-Coupling with Chlorostibine and Bioactivities</v>
      </c>
      <c r="N24" t="e">
        <f t="shared" si="4"/>
        <v>#N/A</v>
      </c>
      <c r="O24" t="b">
        <f t="shared" si="5"/>
        <v>0</v>
      </c>
      <c r="P24" s="13" t="s">
        <v>909</v>
      </c>
      <c r="Q24" s="13" t="s">
        <v>910</v>
      </c>
      <c r="R24" t="str">
        <f t="shared" si="6"/>
        <v>002</v>
      </c>
      <c r="S24">
        <f t="shared" si="12"/>
        <v>12</v>
      </c>
      <c r="T24" s="13" t="str">
        <f>VLOOKUP(Q24,original!B:C,2,FALSE)</f>
        <v>NHC-BH3‑Mediated Reduction of Sulfonyl Hydrazides into Disulfides and Further Cross-Coupling with Chlorostibine and Bioactivities</v>
      </c>
      <c r="U24" s="13" t="s">
        <v>911</v>
      </c>
      <c r="V24" t="str">
        <f t="shared" si="7"/>
        <v>jo4c02638</v>
      </c>
      <c r="W24" t="str">
        <f t="shared" si="8"/>
        <v>jo4c02638_si_002.zip</v>
      </c>
      <c r="X24" t="str">
        <f t="shared" si="9"/>
        <v>https://acs.figshare.com/articles/dataset/NHC-BH_sub_3_sub_Mediated_Reduction_of_Sulfonyl_Hydrazides_into_Disulfides_and_Further_Cross-Coupling_with_Chlorostibine_and_Bioactivities/28432991</v>
      </c>
      <c r="Y24" s="1" t="str">
        <f t="shared" si="13"/>
        <v>--localSource c:/temp/acs2/data --targetDir c:/temp/acs2/$DOI$ --noDownload --readOnly  --pubDOI https://doi.org/10.1021/acs.joc.4c02638 --dataDOI "10.1021/acs.joc.4c02638https://acs.figshare.com/articles/dataset/NHC-BH_sub_3_sub_Mediated_Reduction_of_Sulfonyl_Hydrazides_into_Disulfides_and_Further_Cross-Coupling_with_Chlorostibine_and_Bioactivities/28432991"</v>
      </c>
      <c r="Z24" t="str">
        <f t="shared" si="10"/>
        <v>&lt;br&gt;&lt;a href="https://doi.org/10.1021/acs.joc.4c02638.s002"&gt;https://doi.org/10.1021/acs.joc.4c02638.s002&lt;/a&gt;</v>
      </c>
      <c r="AA24" t="str">
        <f t="shared" si="11"/>
        <v>jo5c01560_si_013.zip</v>
      </c>
      <c r="AB24" t="s">
        <v>1084</v>
      </c>
    </row>
    <row r="25" spans="1:28" x14ac:dyDescent="0.35">
      <c r="A25">
        <v>24</v>
      </c>
      <c r="B25" s="5" t="str">
        <f t="shared" si="0"/>
        <v>jo4c02652</v>
      </c>
      <c r="C25" s="1" t="str">
        <f t="shared" si="1"/>
        <v>jo4c02652</v>
      </c>
      <c r="D25">
        <f>IF(F25=1,"",IF(AND(D24="",S24=S25),"",S25-SUM(F$2:F24)))</f>
        <v>11</v>
      </c>
      <c r="E25" t="str">
        <f t="shared" si="2"/>
        <v>0</v>
      </c>
      <c r="F25">
        <v>0</v>
      </c>
      <c r="H25">
        <v>38</v>
      </c>
      <c r="I25">
        <v>141</v>
      </c>
      <c r="M25" t="str">
        <f t="shared" si="3"/>
        <v>/*11 jo4c02652 */"https://doi.org/10.1021/acs.joc.4c02652.s002",//Aryl Borane as a Catalyst for Dehydrative Amide Synthesis</v>
      </c>
      <c r="N25" t="e">
        <f t="shared" si="4"/>
        <v>#N/A</v>
      </c>
      <c r="O25" t="b">
        <f t="shared" si="5"/>
        <v>0</v>
      </c>
      <c r="P25" s="13" t="s">
        <v>971</v>
      </c>
      <c r="Q25" s="13" t="s">
        <v>972</v>
      </c>
      <c r="R25" t="str">
        <f t="shared" si="6"/>
        <v>002</v>
      </c>
      <c r="S25">
        <f t="shared" si="12"/>
        <v>13</v>
      </c>
      <c r="T25" s="13" t="str">
        <f>VLOOKUP(Q25,original!B:C,2,FALSE)</f>
        <v>Aryl Borane as a Catalyst for Dehydrative Amide Synthesis</v>
      </c>
      <c r="U25" s="13" t="s">
        <v>974</v>
      </c>
      <c r="V25" t="str">
        <f t="shared" si="7"/>
        <v>jo4c02652</v>
      </c>
      <c r="W25" t="str">
        <f t="shared" si="8"/>
        <v>jo4c02652_si_002.zip</v>
      </c>
      <c r="X25" t="str">
        <f t="shared" si="9"/>
        <v>https://acs.figshare.com/articles/dataset/Aryl_Borane_as_a_Catalyst_for_Dehydrative_Amide_Synthesis/28313122</v>
      </c>
      <c r="Y25" s="1" t="str">
        <f t="shared" si="13"/>
        <v>--localSource c:/temp/acs2/data --targetDir c:/temp/acs2/$DOI$ --noDownload --readOnly  --pubDOI https://doi.org/10.1021/acs.joc.4c02652 --dataDOI "10.1021/acs.joc.4c02652https://acs.figshare.com/articles/dataset/Aryl_Borane_as_a_Catalyst_for_Dehydrative_Amide_Synthesis/28313122"</v>
      </c>
      <c r="Z25" t="str">
        <f t="shared" si="10"/>
        <v>&lt;br&gt;&lt;a href="https://doi.org/10.1021/acs.joc.4c02652.s002"&gt;https://doi.org/10.1021/acs.joc.4c02652.s002&lt;/a&gt;</v>
      </c>
      <c r="AA25" t="str">
        <f t="shared" si="11"/>
        <v>jo5c02123_si_002.zip</v>
      </c>
      <c r="AB25" t="s">
        <v>1087</v>
      </c>
    </row>
    <row r="26" spans="1:28" x14ac:dyDescent="0.35">
      <c r="A26">
        <v>25</v>
      </c>
      <c r="B26" s="5" t="str">
        <f t="shared" si="0"/>
        <v>jo4c02669</v>
      </c>
      <c r="C26" s="1" t="str">
        <f t="shared" si="1"/>
        <v>jo4c02669</v>
      </c>
      <c r="D26">
        <f>IF(F26=1,"",IF(AND(D25="",S25=S26),"",S26-SUM(F$2:F25)))</f>
        <v>12</v>
      </c>
      <c r="E26" t="str">
        <f t="shared" si="2"/>
        <v>0</v>
      </c>
      <c r="F26">
        <v>0</v>
      </c>
      <c r="H26">
        <v>7</v>
      </c>
      <c r="I26">
        <v>27</v>
      </c>
      <c r="M26" t="str">
        <f t="shared" si="3"/>
        <v>/*12 jo4c02669 */"https://doi.org/10.1021/acs.joc.4c02669.s001",//Controlling the Symmetry of Perylene Derivatives via Selective ortho-Borylation</v>
      </c>
      <c r="N26" t="e">
        <f t="shared" si="4"/>
        <v>#N/A</v>
      </c>
      <c r="O26" t="b">
        <f t="shared" si="5"/>
        <v>0</v>
      </c>
      <c r="P26" s="13" t="s">
        <v>882</v>
      </c>
      <c r="Q26" s="13" t="s">
        <v>883</v>
      </c>
      <c r="R26" t="str">
        <f t="shared" si="6"/>
        <v>001</v>
      </c>
      <c r="S26">
        <f t="shared" si="12"/>
        <v>14</v>
      </c>
      <c r="T26" s="13" t="str">
        <f>VLOOKUP(Q26,original!B:C,2,FALSE)</f>
        <v>Controlling the Symmetry of Perylene Derivatives via Selective ortho-Borylation</v>
      </c>
      <c r="U26" s="13" t="s">
        <v>885</v>
      </c>
      <c r="V26" t="str">
        <f t="shared" si="7"/>
        <v>jo4c02669</v>
      </c>
      <c r="W26" t="str">
        <f t="shared" si="8"/>
        <v>jo4c02669_si_001.zip</v>
      </c>
      <c r="X26" t="str">
        <f t="shared" si="9"/>
        <v>https://acs.figshare.com/articles/dataset/Controlling_the_Symmetry_of_Perylene_Derivatives_via_Selective_i_ortho_i_-Borylation/28504775</v>
      </c>
      <c r="Y26" s="1" t="str">
        <f t="shared" si="13"/>
        <v>--localSource c:/temp/acs2/data --targetDir c:/temp/acs2/$DOI$ --noDownload --readOnly  --pubDOI https://doi.org/10.1021/acs.joc.4c02669 --dataDOI "10.1021/acs.joc.4c02669https://acs.figshare.com/articles/dataset/Controlling_the_Symmetry_of_Perylene_Derivatives_via_Selective_i_ortho_i_-Borylation/28504775"</v>
      </c>
      <c r="Z26" t="str">
        <f t="shared" si="10"/>
        <v>&lt;br&gt;&lt;a href="https://doi.org/10.1021/acs.joc.4c02669.s001"&gt;https://doi.org/10.1021/acs.joc.4c02669.s001&lt;/a&gt;</v>
      </c>
      <c r="AA26" t="str">
        <f t="shared" si="11"/>
        <v>jo5c02404_si_002.zip</v>
      </c>
      <c r="AB26" t="s">
        <v>1088</v>
      </c>
    </row>
    <row r="27" spans="1:28" x14ac:dyDescent="0.35">
      <c r="A27">
        <v>26</v>
      </c>
      <c r="B27" s="5" t="str">
        <f t="shared" si="0"/>
        <v>jo4c02676</v>
      </c>
      <c r="C27" s="1" t="str">
        <f t="shared" si="1"/>
        <v>#jo4c02676 XLS</v>
      </c>
      <c r="D27" t="str">
        <f>IF(F27=1,"",IF(AND(D26="",S26=S27),"",S27-SUM(F$2:F26)))</f>
        <v/>
      </c>
      <c r="E27" t="str">
        <f t="shared" si="2"/>
        <v>0</v>
      </c>
      <c r="F27">
        <v>1</v>
      </c>
      <c r="G27" t="s">
        <v>1060</v>
      </c>
      <c r="M27" t="str">
        <f t="shared" si="3"/>
        <v/>
      </c>
      <c r="N27" t="str">
        <f t="shared" si="4"/>
        <v>jo4c02676_si_001.xls</v>
      </c>
      <c r="O27" t="b">
        <f t="shared" si="5"/>
        <v>1</v>
      </c>
      <c r="P27" s="13" t="s">
        <v>922</v>
      </c>
      <c r="Q27" s="13" t="s">
        <v>923</v>
      </c>
      <c r="R27" t="str">
        <f t="shared" si="6"/>
        <v>001</v>
      </c>
      <c r="S27">
        <f t="shared" si="12"/>
        <v>15</v>
      </c>
      <c r="T27" s="13" t="str">
        <f>VLOOKUP(Q27,original!B:C,2,FALSE)</f>
        <v>Dehydrogenation of Aromatic Alcohols, Aldehydes, and Ketones Catalyzed by Cu(I) Complexes</v>
      </c>
      <c r="U27" s="13" t="s">
        <v>925</v>
      </c>
      <c r="V27" t="str">
        <f t="shared" si="7"/>
        <v>jo4c02676</v>
      </c>
      <c r="W27" t="str">
        <f t="shared" si="8"/>
        <v>jo4c02676_si_001.zip</v>
      </c>
      <c r="X27" t="str">
        <f t="shared" si="9"/>
        <v>https://acs.figshare.com/articles/dataset/Dehydrogenation_of_Aromatic_Alcohols_Aldehydes_and_Ketones_Catalyzed_by_Cu_I_Complexes/28395249</v>
      </c>
      <c r="Y27" s="1" t="str">
        <f t="shared" si="13"/>
        <v>--localSource c:/temp/acs2/data --targetDir c:/temp/acs2/$DOI$ --noDownload --readOnly  --pubDOI https://doi.org/10.1021/acs.joc.4c02676 --dataDOI "10.1021/acs.joc.4c02676https://acs.figshare.com/articles/dataset/Dehydrogenation_of_Aromatic_Alcohols_Aldehydes_and_Ketones_Catalyzed_by_Cu_I_Complexes/28395249"</v>
      </c>
      <c r="Z27" t="str">
        <f t="shared" si="10"/>
        <v>&lt;br&gt;&lt;a href="https://doi.org/10.1021/acs.joc.4c02676.s001"&gt;https://doi.org/10.1021/acs.joc.4c02676.s001&lt;/a&gt;</v>
      </c>
      <c r="AA27" t="str">
        <f t="shared" si="11"/>
        <v>jo5c02410_si_002.zip</v>
      </c>
      <c r="AB27" t="s">
        <v>1089</v>
      </c>
    </row>
    <row r="28" spans="1:28" x14ac:dyDescent="0.35">
      <c r="A28">
        <v>27</v>
      </c>
      <c r="B28" s="5" t="str">
        <f t="shared" si="0"/>
        <v>jo4c02689</v>
      </c>
      <c r="C28" s="1" t="str">
        <f t="shared" si="1"/>
        <v/>
      </c>
      <c r="D28">
        <f>IF(F28=1,"",IF(AND(D27="",S27=S28),"",S28-SUM(F$2:F27)))</f>
        <v>13</v>
      </c>
      <c r="E28" t="str">
        <f t="shared" si="2"/>
        <v>0</v>
      </c>
      <c r="F28">
        <v>0</v>
      </c>
      <c r="M28" t="str">
        <f t="shared" si="3"/>
        <v>/*13 jo4c02689 */"https://doi.org/10.1021/acs.joc.4c02689.s001",//Uncommon Diterpenoids with Diverse Frameworks from the South China Sea Sponge Spongia officinalis and Their Anti-inflammatory Activities</v>
      </c>
      <c r="N28" t="e">
        <f t="shared" si="4"/>
        <v>#N/A</v>
      </c>
      <c r="O28" t="b">
        <f t="shared" si="5"/>
        <v>0</v>
      </c>
      <c r="P28" s="13" t="s">
        <v>991</v>
      </c>
      <c r="Q28" s="13" t="s">
        <v>992</v>
      </c>
      <c r="R28" t="str">
        <f t="shared" si="6"/>
        <v>001</v>
      </c>
      <c r="S28">
        <f t="shared" si="12"/>
        <v>16</v>
      </c>
      <c r="T28" s="13" t="str">
        <f>VLOOKUP(Q28,original!B:C,2,FALSE)</f>
        <v>Uncommon Diterpenoids with Diverse Frameworks from the South China Sea Sponge Spongia officinalis and Their Anti-inflammatory Activities</v>
      </c>
      <c r="U28" s="13" t="s">
        <v>985</v>
      </c>
      <c r="V28" t="str">
        <f t="shared" si="7"/>
        <v>jo4c02689</v>
      </c>
      <c r="W28" t="str">
        <f t="shared" si="8"/>
        <v>jo4c02689_si_001.zip</v>
      </c>
      <c r="X28" t="str">
        <f t="shared" si="9"/>
        <v>https://acs.figshare.com/articles/dataset/Uncommon_Diterpenoids_with_Diverse_Frameworks_from_the_South_China_Sea_Sponge_i_Spongia_officinalis_i_and_Their_Anti-inflammatory_Activities/28270623</v>
      </c>
      <c r="Y28" s="1" t="str">
        <f t="shared" si="13"/>
        <v/>
      </c>
      <c r="Z28" t="str">
        <f t="shared" si="10"/>
        <v>&lt;br&gt;&lt;a href="https://doi.org/10.1021/acs.joc.4c02689.s001"&gt;https://doi.org/10.1021/acs.joc.4c02689.s001&lt;/a&gt;</v>
      </c>
      <c r="AA28" t="str">
        <f t="shared" si="11"/>
        <v>jo5c02438_si_002.zip</v>
      </c>
      <c r="AB28" t="s">
        <v>1102</v>
      </c>
    </row>
    <row r="29" spans="1:28" x14ac:dyDescent="0.35">
      <c r="A29">
        <v>28</v>
      </c>
      <c r="B29" s="5" t="str">
        <f t="shared" si="0"/>
        <v>jo4c02689</v>
      </c>
      <c r="C29" s="1" t="str">
        <f t="shared" si="1"/>
        <v/>
      </c>
      <c r="D29">
        <f>IF(F29=1,"",IF(AND(D28="",S28=S29),"",S29-SUM(F$2:F28)))</f>
        <v>13</v>
      </c>
      <c r="E29" t="str">
        <f t="shared" si="2"/>
        <v>1</v>
      </c>
      <c r="F29">
        <v>0</v>
      </c>
      <c r="M29" t="str">
        <f t="shared" si="3"/>
        <v>/*13 jo4c02689 */"https://doi.org/10.1021/acs.joc.4c02689.s002",//Uncommon Diterpenoids with Diverse Frameworks from the South China Sea Sponge &lt;i&gt;Spongia officinalis&lt;/i&gt; and Their Anti-inflammatory Activities</v>
      </c>
      <c r="N29" t="e">
        <f t="shared" si="4"/>
        <v>#N/A</v>
      </c>
      <c r="O29" t="b">
        <f t="shared" si="5"/>
        <v>0</v>
      </c>
      <c r="P29" s="13" t="s">
        <v>988</v>
      </c>
      <c r="Q29" s="13" t="s">
        <v>989</v>
      </c>
      <c r="R29" t="str">
        <f t="shared" si="6"/>
        <v>002</v>
      </c>
      <c r="S29">
        <f t="shared" si="12"/>
        <v>16</v>
      </c>
      <c r="T29" s="13" t="str">
        <f>VLOOKUP(Q29,original!B:C,2,FALSE)</f>
        <v>Uncommon Diterpenoids with Diverse Frameworks from the South China Sea Sponge &lt;i&gt;Spongia officinalis&lt;/i&gt; and Their Anti-inflammatory Activities</v>
      </c>
      <c r="U29" s="13" t="s">
        <v>985</v>
      </c>
      <c r="V29" t="str">
        <f t="shared" si="7"/>
        <v>jo4c02689</v>
      </c>
      <c r="W29" t="str">
        <f t="shared" si="8"/>
        <v>jo4c02689_si_002.zip</v>
      </c>
      <c r="X29" t="str">
        <f t="shared" si="9"/>
        <v>https://acs.figshare.com/articles/dataset/Uncommon_Diterpenoids_with_Diverse_Frameworks_from_the_South_China_Sea_Sponge_i_Spongia_officinalis_i_and_Their_Anti-inflammatory_Activities/28270623\thttps://acs.figshare.com/articles/dataset/Uncommon_Diterpenoids_with_Diverse_Frameworks_from_the_South_China_Sea_Sponge_i_Spongia_officinalis_i_and_Their_Anti-inflammatory_Activities/28270626</v>
      </c>
      <c r="Y29" s="1" t="str">
        <f t="shared" si="13"/>
        <v/>
      </c>
      <c r="Z29" t="str">
        <f t="shared" si="10"/>
        <v>&lt;br&gt;&lt;a href="https://doi.org/10.1021/acs.joc.4c02689.s002"&gt;https://doi.org/10.1021/acs.joc.4c02689.s002&lt;/a&gt;</v>
      </c>
      <c r="AA29" t="str">
        <f t="shared" si="11"/>
        <v>jo5c02577_si_001.zip</v>
      </c>
      <c r="AB29" t="s">
        <v>1091</v>
      </c>
    </row>
    <row r="30" spans="1:28" x14ac:dyDescent="0.35">
      <c r="A30">
        <v>29</v>
      </c>
      <c r="B30" s="5" t="str">
        <f t="shared" si="0"/>
        <v>jo4c02689</v>
      </c>
      <c r="C30" s="1" t="str">
        <f t="shared" si="1"/>
        <v/>
      </c>
      <c r="D30">
        <f>IF(F30=1,"",IF(AND(D29="",S29=S30),"",S30-SUM(F$2:F29)))</f>
        <v>13</v>
      </c>
      <c r="E30" t="str">
        <f t="shared" si="2"/>
        <v>1</v>
      </c>
      <c r="F30">
        <v>0</v>
      </c>
      <c r="M30" t="str">
        <f t="shared" si="3"/>
        <v>/*13 jo4c02689 */"https://doi.org/10.1021/acs.joc.4c02689.s003",//Uncommon Diterpenoids with Diverse Frameworks from the South China Sea Sponge Spongia officinalis and Their Anti-inflammatory Activities</v>
      </c>
      <c r="N30" t="e">
        <f t="shared" si="4"/>
        <v>#N/A</v>
      </c>
      <c r="O30" t="b">
        <f t="shared" si="5"/>
        <v>0</v>
      </c>
      <c r="P30" s="13" t="s">
        <v>986</v>
      </c>
      <c r="Q30" s="13" t="s">
        <v>987</v>
      </c>
      <c r="R30" t="str">
        <f t="shared" si="6"/>
        <v>003</v>
      </c>
      <c r="S30">
        <f t="shared" si="12"/>
        <v>16</v>
      </c>
      <c r="T30" s="13" t="str">
        <f>VLOOKUP(Q30,original!B:C,2,FALSE)</f>
        <v>Uncommon Diterpenoids with Diverse Frameworks from the South China Sea Sponge Spongia officinalis and Their Anti-inflammatory Activities</v>
      </c>
      <c r="U30" s="13" t="s">
        <v>985</v>
      </c>
      <c r="V30" t="str">
        <f t="shared" si="7"/>
        <v>jo4c02689</v>
      </c>
      <c r="W30" t="str">
        <f t="shared" si="8"/>
        <v>jo4c02689_si_003.zip</v>
      </c>
      <c r="X30" t="str">
        <f t="shared" si="9"/>
        <v>https://acs.figshare.com/articles/dataset/Uncommon_Diterpenoids_with_Diverse_Frameworks_from_the_South_China_Sea_Sponge_i_Spongia_officinalis_i_and_Their_Anti-inflammatory_Activities/28270623\thttps://acs.figshare.com/articles/dataset/Uncommon_Diterpenoids_with_Diverse_Frameworks_from_the_South_China_Sea_Sponge_i_Spongia_officinalis_i_and_Their_Anti-inflammatory_Activities/28270626\thttps://acs.figshare.com/articles/dataset/Uncommon_Diterpenoids_with_Diverse_Frameworks_from_the_South_China_Sea_Sponge_i_Spongia_officinalis_i_and_Their_Anti-inflammatory_Activities/28270629</v>
      </c>
      <c r="Y30" s="1" t="str">
        <f t="shared" si="13"/>
        <v/>
      </c>
      <c r="Z30" t="str">
        <f t="shared" si="10"/>
        <v>&lt;br&gt;&lt;a href="https://doi.org/10.1021/acs.joc.4c02689.s003"&gt;https://doi.org/10.1021/acs.joc.4c02689.s003&lt;/a&gt;</v>
      </c>
      <c r="AA30" t="str">
        <f t="shared" si="11"/>
        <v>jo5c02577_si_002.zip</v>
      </c>
      <c r="AB30" t="s">
        <v>1092</v>
      </c>
    </row>
    <row r="31" spans="1:28" x14ac:dyDescent="0.35">
      <c r="A31">
        <v>30</v>
      </c>
      <c r="B31" s="5" t="str">
        <f t="shared" si="0"/>
        <v>jo4c02689</v>
      </c>
      <c r="C31" s="1" t="str">
        <f t="shared" si="1"/>
        <v>jo4c02689</v>
      </c>
      <c r="D31">
        <f>IF(F31=1,"",IF(AND(D30="",S30=S31),"",S31-SUM(F$2:F30)))</f>
        <v>13</v>
      </c>
      <c r="E31" t="str">
        <f t="shared" si="2"/>
        <v>1</v>
      </c>
      <c r="F31">
        <v>0</v>
      </c>
      <c r="H31">
        <v>23</v>
      </c>
      <c r="I31">
        <v>25</v>
      </c>
      <c r="M31" t="str">
        <f t="shared" si="3"/>
        <v>/*13 jo4c02689 */"https://doi.org/10.1021/acs.joc.4c02689.s004",//Uncommon Diterpenoids with Diverse Frameworks from the South China Sea Sponge Spongia officinalis and Their Anti-inflammatory Activities</v>
      </c>
      <c r="N31" t="e">
        <f t="shared" si="4"/>
        <v>#N/A</v>
      </c>
      <c r="O31" t="b">
        <f t="shared" si="5"/>
        <v>0</v>
      </c>
      <c r="P31" s="13" t="s">
        <v>982</v>
      </c>
      <c r="Q31" s="13" t="s">
        <v>983</v>
      </c>
      <c r="R31" t="str">
        <f t="shared" si="6"/>
        <v>004</v>
      </c>
      <c r="S31">
        <f t="shared" si="12"/>
        <v>16</v>
      </c>
      <c r="T31" s="13" t="str">
        <f>VLOOKUP(Q31,original!B:C,2,FALSE)</f>
        <v>Uncommon Diterpenoids with Diverse Frameworks from the South China Sea Sponge Spongia officinalis and Their Anti-inflammatory Activities</v>
      </c>
      <c r="U31" s="13" t="s">
        <v>985</v>
      </c>
      <c r="V31" t="str">
        <f t="shared" si="7"/>
        <v>jo4c02689</v>
      </c>
      <c r="W31" t="str">
        <f t="shared" si="8"/>
        <v>jo4c02689_si_004.zip</v>
      </c>
      <c r="X31" t="str">
        <f t="shared" si="9"/>
        <v>https://acs.figshare.com/articles/dataset/Uncommon_Diterpenoids_with_Diverse_Frameworks_from_the_South_China_Sea_Sponge_i_Spongia_officinalis_i_and_Their_Anti-inflammatory_Activities/28270623\thttps://acs.figshare.com/articles/dataset/Uncommon_Diterpenoids_with_Diverse_Frameworks_from_the_South_China_Sea_Sponge_i_Spongia_officinalis_i_and_Their_Anti-inflammatory_Activities/28270626\thttps://acs.figshare.com/articles/dataset/Uncommon_Diterpenoids_with_Diverse_Frameworks_from_the_South_China_Sea_Sponge_i_Spongia_officinalis_i_and_Their_Anti-inflammatory_Activities/28270629\thttps://acs.figshare.com/articles/dataset/Uncommon_Diterpenoids_with_Diverse_Frameworks_from_the_South_China_Sea_Sponge_i_Spongia_officinalis_i_and_Their_Anti-inflammatory_Activities/28270632</v>
      </c>
      <c r="Y31" s="1" t="str">
        <f t="shared" si="13"/>
        <v>--localSource c:/temp/acs2/data --targetDir c:/temp/acs2/$DOI$ --noDownload --readOnly  --pubDOI https://doi.org/10.1021/acs.joc.4c02689 --dataDOI "10.1021/acs.joc.4c02689https://acs.figshare.com/articles/dataset/Uncommon_Diterpenoids_with_Diverse_Frameworks_from_the_South_China_Sea_Sponge_i_Spongia_officinalis_i_and_Their_Anti-inflammatory_Activities/28270623\thttps://acs.figshare.com/articles/dataset/Uncommon_Diterpenoids_with_Diverse_Frameworks_from_the_South_China_Sea_Sponge_i_Spongia_officinalis_i_and_Their_Anti-inflammatory_Activities/28270626\thttps://acs.figshare.com/articles/dataset/Uncommon_Diterpenoids_with_Diverse_Frameworks_from_the_South_China_Sea_Sponge_i_Spongia_officinalis_i_and_Their_Anti-inflammatory_Activities/28270629\thttps://acs.figshare.com/articles/dataset/Uncommon_Diterpenoids_with_Diverse_Frameworks_from_the_South_China_Sea_Sponge_i_Spongia_officinalis_i_and_Their_Anti-inflammatory_Activities/28270632"</v>
      </c>
      <c r="Z31" t="str">
        <f t="shared" si="10"/>
        <v>&lt;br&gt;&lt;a href="https://doi.org/10.1021/acs.joc.4c02689.s004"&gt;https://doi.org/10.1021/acs.joc.4c02689.s004&lt;/a&gt;</v>
      </c>
      <c r="AA31" t="str">
        <f t="shared" si="11"/>
        <v>jo5c02577_si_003.zip</v>
      </c>
      <c r="AB31" t="s">
        <v>1093</v>
      </c>
    </row>
    <row r="32" spans="1:28" x14ac:dyDescent="0.35">
      <c r="A32">
        <v>31</v>
      </c>
      <c r="B32" s="5" t="str">
        <f t="shared" si="0"/>
        <v>jo4c02691</v>
      </c>
      <c r="C32" s="1" t="str">
        <f t="shared" si="1"/>
        <v>jo4c02691</v>
      </c>
      <c r="D32">
        <f>IF(F32=1,"",IF(AND(D31="",S31=S32),"",S32-SUM(F$2:F31)))</f>
        <v>14</v>
      </c>
      <c r="E32" t="str">
        <f t="shared" si="2"/>
        <v>0</v>
      </c>
      <c r="F32">
        <v>0</v>
      </c>
      <c r="H32">
        <v>76</v>
      </c>
      <c r="I32">
        <v>160</v>
      </c>
      <c r="J32">
        <v>1</v>
      </c>
      <c r="M32" t="str">
        <f t="shared" si="3"/>
        <v>/*14 jo4c02691 */"https://doi.org/10.1021/acs.joc.4c02691.s002",//Thiazoles via Formal [4 + 1] of NaSH to (Z)‑Bromoisocyanoalkenes</v>
      </c>
      <c r="N32" t="e">
        <f t="shared" si="4"/>
        <v>#N/A</v>
      </c>
      <c r="O32" t="b">
        <f t="shared" si="5"/>
        <v>0</v>
      </c>
      <c r="P32" s="13" t="s">
        <v>797</v>
      </c>
      <c r="Q32" s="13" t="s">
        <v>798</v>
      </c>
      <c r="R32" t="str">
        <f t="shared" si="6"/>
        <v>002</v>
      </c>
      <c r="S32">
        <f t="shared" si="12"/>
        <v>17</v>
      </c>
      <c r="T32" s="13" t="str">
        <f>VLOOKUP(Q32,original!B:C,2,FALSE)</f>
        <v>Thiazoles via Formal [4 + 1] of NaSH to (Z)‑Bromoisocyanoalkenes</v>
      </c>
      <c r="U32" s="13" t="s">
        <v>799</v>
      </c>
      <c r="V32" t="str">
        <f t="shared" si="7"/>
        <v>jo4c02691</v>
      </c>
      <c r="W32" t="str">
        <f t="shared" si="8"/>
        <v>jo4c02691_si_002.zip</v>
      </c>
      <c r="X32" t="str">
        <f t="shared" si="9"/>
        <v>https://acs.figshare.com/articles/dataset/Thiazoles_via_Formal_4_1_of_NaSH_to_i_Z_i_Bromoisocyanoalkenes/28641662</v>
      </c>
      <c r="Y32" s="1" t="str">
        <f t="shared" si="13"/>
        <v>--localSource c:/temp/acs2/data --targetDir c:/temp/acs2/$DOI$ --noDownload --readOnly  --pubDOI https://doi.org/10.1021/acs.joc.4c02691 --dataDOI "10.1021/acs.joc.4c02691https://acs.figshare.com/articles/dataset/Thiazoles_via_Formal_4_1_of_NaSH_to_i_Z_i_Bromoisocyanoalkenes/28641662"</v>
      </c>
      <c r="Z32" t="str">
        <f t="shared" si="10"/>
        <v>&lt;br&gt;&lt;a href="https://doi.org/10.1021/acs.joc.4c02691.s002"&gt;https://doi.org/10.1021/acs.joc.4c02691.s002&lt;/a&gt;</v>
      </c>
      <c r="AA32" t="str">
        <f t="shared" si="11"/>
        <v>jo5c02700_si_002.zip</v>
      </c>
      <c r="AB32" t="s">
        <v>1094</v>
      </c>
    </row>
    <row r="33" spans="1:28" x14ac:dyDescent="0.35">
      <c r="A33">
        <v>32</v>
      </c>
      <c r="B33" s="5" t="str">
        <f t="shared" si="0"/>
        <v>jo4c02715</v>
      </c>
      <c r="C33" s="1" t="str">
        <f t="shared" si="1"/>
        <v>jo4c02715</v>
      </c>
      <c r="D33">
        <f>IF(F33=1,"",IF(AND(D32="",S32=S33),"",S33-SUM(F$2:F32)))</f>
        <v>15</v>
      </c>
      <c r="E33" t="str">
        <f t="shared" si="2"/>
        <v>0</v>
      </c>
      <c r="F33">
        <v>0</v>
      </c>
      <c r="H33">
        <v>7</v>
      </c>
      <c r="I33">
        <v>14</v>
      </c>
      <c r="M33" t="str">
        <f t="shared" si="3"/>
        <v>/*15 jo4c02715 */"https://doi.org/10.1021/acs.joc.4c02715.s002",//From Pseudocyclic to Macrocyclic Ionophores: Strategies toward the Synthesis of Cyclic Monensin Derivatives</v>
      </c>
      <c r="N33" t="e">
        <f t="shared" si="4"/>
        <v>#N/A</v>
      </c>
      <c r="O33" t="b">
        <f t="shared" si="5"/>
        <v>0</v>
      </c>
      <c r="P33" s="13" t="s">
        <v>1003</v>
      </c>
      <c r="Q33" s="13" t="s">
        <v>1004</v>
      </c>
      <c r="R33" t="str">
        <f t="shared" si="6"/>
        <v>002</v>
      </c>
      <c r="S33">
        <f t="shared" si="12"/>
        <v>18</v>
      </c>
      <c r="T33" s="13" t="str">
        <f>VLOOKUP(Q33,original!B:C,2,FALSE)</f>
        <v>From Pseudocyclic to Macrocyclic Ionophores: Strategies toward the Synthesis of Cyclic Monensin Derivatives</v>
      </c>
      <c r="U33" s="13" t="s">
        <v>1006</v>
      </c>
      <c r="V33" t="str">
        <f t="shared" si="7"/>
        <v>jo4c02715</v>
      </c>
      <c r="W33" t="str">
        <f t="shared" si="8"/>
        <v>jo4c02715_si_002.zip</v>
      </c>
      <c r="X33" t="str">
        <f t="shared" si="9"/>
        <v>https://acs.figshare.com/articles/dataset/From_Pseudocyclic_to_Macrocyclic_Ionophores_Strategies_toward_the_Synthesis_of_Cyclic_Monensin_Derivatives/28182897</v>
      </c>
      <c r="Y33" s="1" t="str">
        <f t="shared" si="13"/>
        <v>--localSource c:/temp/acs2/data --targetDir c:/temp/acs2/$DOI$ --noDownload --readOnly  --pubDOI https://doi.org/10.1021/acs.joc.4c02715 --dataDOI "10.1021/acs.joc.4c02715https://acs.figshare.com/articles/dataset/From_Pseudocyclic_to_Macrocyclic_Ionophores_Strategies_toward_the_Synthesis_of_Cyclic_Monensin_Derivatives/28182897"</v>
      </c>
      <c r="Z33" t="str">
        <f t="shared" si="10"/>
        <v>&lt;br&gt;&lt;a href="https://doi.org/10.1021/acs.joc.4c02715.s002"&gt;https://doi.org/10.1021/acs.joc.4c02715.s002&lt;/a&gt;</v>
      </c>
      <c r="AA33" t="str">
        <f t="shared" si="11"/>
        <v>ol4c04767_si_002.zip</v>
      </c>
      <c r="AB33" t="s">
        <v>1103</v>
      </c>
    </row>
    <row r="34" spans="1:28" x14ac:dyDescent="0.35">
      <c r="A34">
        <v>33</v>
      </c>
      <c r="B34" s="5" t="str">
        <f t="shared" si="0"/>
        <v>jo4c02737</v>
      </c>
      <c r="C34" s="1" t="str">
        <f t="shared" si="1"/>
        <v>jo4c02737</v>
      </c>
      <c r="D34">
        <f>IF(F34=1,"",IF(AND(D33="",S33=S34),"",S34-SUM(F$2:F33)))</f>
        <v>16</v>
      </c>
      <c r="E34" t="str">
        <f t="shared" si="2"/>
        <v>0</v>
      </c>
      <c r="F34">
        <v>0</v>
      </c>
      <c r="H34">
        <v>35</v>
      </c>
      <c r="I34">
        <v>69</v>
      </c>
      <c r="M34" t="str">
        <f t="shared" si="3"/>
        <v>/*16 jo4c02737 */"https://doi.org/10.1021/acs.joc.4c02737.s002",//Photooxidation and Cleavage of Ethynylated 9,10-Dimethoxyanthracenes with Acid-Labile Ether Bonds</v>
      </c>
      <c r="N34" t="e">
        <f t="shared" si="4"/>
        <v>#N/A</v>
      </c>
      <c r="O34" t="b">
        <f t="shared" si="5"/>
        <v>0</v>
      </c>
      <c r="P34" s="13" t="s">
        <v>978</v>
      </c>
      <c r="Q34" s="13" t="s">
        <v>979</v>
      </c>
      <c r="R34" t="str">
        <f t="shared" si="6"/>
        <v>002</v>
      </c>
      <c r="S34">
        <f t="shared" si="12"/>
        <v>19</v>
      </c>
      <c r="T34" s="13" t="str">
        <f>VLOOKUP(Q34,original!B:C,2,FALSE)</f>
        <v>Photooxidation and Cleavage of Ethynylated 9,10-Dimethoxyanthracenes with Acid-Labile Ether Bonds</v>
      </c>
      <c r="U34" s="13" t="s">
        <v>981</v>
      </c>
      <c r="V34" t="str">
        <f t="shared" si="7"/>
        <v>jo4c02737</v>
      </c>
      <c r="W34" t="str">
        <f t="shared" si="8"/>
        <v>jo4c02737_si_002.zip</v>
      </c>
      <c r="X34" t="str">
        <f t="shared" si="9"/>
        <v>https://acs.figshare.com/articles/dataset/Photooxidation_and_Cleavage_of_Ethynylated_9_10-Dimethoxyanthracenes_with_Acid-Labile_Ether_Bonds/28297095</v>
      </c>
      <c r="Y34" s="1" t="str">
        <f t="shared" si="13"/>
        <v>--localSource c:/temp/acs2/data --targetDir c:/temp/acs2/$DOI$ --noDownload --readOnly  --pubDOI https://doi.org/10.1021/acs.joc.4c02737 --dataDOI "10.1021/acs.joc.4c02737https://acs.figshare.com/articles/dataset/Photooxidation_and_Cleavage_of_Ethynylated_9_10-Dimethoxyanthracenes_with_Acid-Labile_Ether_Bonds/28297095"</v>
      </c>
      <c r="Z34" t="str">
        <f t="shared" si="10"/>
        <v>&lt;br&gt;&lt;a href="https://doi.org/10.1021/acs.joc.4c02737.s002"&gt;https://doi.org/10.1021/acs.joc.4c02737.s002&lt;/a&gt;</v>
      </c>
      <c r="AA34" t="str">
        <f t="shared" si="11"/>
        <v>ol5c01902_si_002.zip</v>
      </c>
      <c r="AB34" t="s">
        <v>1104</v>
      </c>
    </row>
    <row r="35" spans="1:28" x14ac:dyDescent="0.35">
      <c r="A35">
        <v>34</v>
      </c>
      <c r="B35" s="5" t="str">
        <f t="shared" si="0"/>
        <v>jo4c02787</v>
      </c>
      <c r="C35" s="1" t="str">
        <f t="shared" si="1"/>
        <v>jo4c02787</v>
      </c>
      <c r="D35">
        <f>IF(F35=1,"",IF(AND(D34="",S34=S35),"",S35-SUM(F$2:F34)))</f>
        <v>17</v>
      </c>
      <c r="E35" t="str">
        <f t="shared" si="2"/>
        <v>0</v>
      </c>
      <c r="F35">
        <v>0</v>
      </c>
      <c r="H35">
        <v>112</v>
      </c>
      <c r="I35">
        <v>113</v>
      </c>
      <c r="M35" t="str">
        <f t="shared" si="3"/>
        <v>/*17 jo4c02787 */"https://doi.org/10.1021/acs.joc.4c02787.s002",//Annulative Coupling of Sulfoxonium Ylides with Aldehydes and Naphthols or Coumarins: Easy Access to Fused Dihydrofurans</v>
      </c>
      <c r="N35" t="e">
        <f t="shared" si="4"/>
        <v>#N/A</v>
      </c>
      <c r="O35" t="b">
        <f t="shared" si="5"/>
        <v>0</v>
      </c>
      <c r="P35" s="13" t="s">
        <v>996</v>
      </c>
      <c r="Q35" s="13" t="s">
        <v>997</v>
      </c>
      <c r="R35" t="str">
        <f t="shared" si="6"/>
        <v>002</v>
      </c>
      <c r="S35">
        <f t="shared" si="12"/>
        <v>20</v>
      </c>
      <c r="T35" s="13" t="str">
        <f>VLOOKUP(Q35,original!B:C,2,FALSE)</f>
        <v>Annulative Coupling of Sulfoxonium Ylides with Aldehydes and Naphthols or Coumarins: Easy Access to Fused Dihydrofurans</v>
      </c>
      <c r="U35" s="13" t="s">
        <v>999</v>
      </c>
      <c r="V35" t="str">
        <f t="shared" si="7"/>
        <v>jo4c02787</v>
      </c>
      <c r="W35" t="str">
        <f t="shared" si="8"/>
        <v>jo4c02787_si_002.zip</v>
      </c>
      <c r="X35" t="str">
        <f t="shared" si="9"/>
        <v>https://acs.figshare.com/articles/dataset/Annulative_Coupling_of_Sulfoxonium_Ylides_with_Aldehydes_and_Naphthols_or_Coumarins_Easy_Access_to_Fused_Dihydrofurans/28228988</v>
      </c>
      <c r="Y35" s="1" t="str">
        <f t="shared" si="13"/>
        <v>--localSource c:/temp/acs2/data --targetDir c:/temp/acs2/$DOI$ --noDownload --readOnly  --pubDOI https://doi.org/10.1021/acs.joc.4c02787 --dataDOI "10.1021/acs.joc.4c02787https://acs.figshare.com/articles/dataset/Annulative_Coupling_of_Sulfoxonium_Ylides_with_Aldehydes_and_Naphthols_or_Coumarins_Easy_Access_to_Fused_Dihydrofurans/28228988"</v>
      </c>
      <c r="Z35" t="str">
        <f t="shared" si="10"/>
        <v>&lt;br&gt;&lt;a href="https://doi.org/10.1021/acs.joc.4c02787.s002"&gt;https://doi.org/10.1021/acs.joc.4c02787.s002&lt;/a&gt;</v>
      </c>
      <c r="AA35" t="str">
        <f t="shared" si="11"/>
        <v>ol5c01955_si_002.zip</v>
      </c>
      <c r="AB35" t="s">
        <v>1105</v>
      </c>
    </row>
    <row r="36" spans="1:28" x14ac:dyDescent="0.35">
      <c r="A36">
        <v>35</v>
      </c>
      <c r="B36" s="5" t="str">
        <f t="shared" si="0"/>
        <v>jo4c02834</v>
      </c>
      <c r="C36" s="1" t="str">
        <f t="shared" si="1"/>
        <v>jo4c02834</v>
      </c>
      <c r="D36">
        <f>IF(F36=1,"",IF(AND(D35="",S35=S36),"",S36-SUM(F$2:F35)))</f>
        <v>18</v>
      </c>
      <c r="E36" t="str">
        <f t="shared" si="2"/>
        <v>0</v>
      </c>
      <c r="F36">
        <v>0</v>
      </c>
      <c r="M36" t="str">
        <f t="shared" si="3"/>
        <v>/*18 jo4c02834 */"https://doi.org/10.1021/acs.joc.4c02834.s001",//Multicomponent Tf2O‑Triggered Dearomative Triazinylmethylation of Isoquinolines Using Acetonitrile</v>
      </c>
      <c r="N36" t="e">
        <f t="shared" si="4"/>
        <v>#N/A</v>
      </c>
      <c r="O36" t="b">
        <f t="shared" si="5"/>
        <v>0</v>
      </c>
      <c r="P36" s="13" t="s">
        <v>915</v>
      </c>
      <c r="Q36" s="13" t="s">
        <v>916</v>
      </c>
      <c r="R36" t="str">
        <f t="shared" si="6"/>
        <v>001</v>
      </c>
      <c r="S36">
        <f t="shared" si="12"/>
        <v>21</v>
      </c>
      <c r="T36" s="13" t="str">
        <f>VLOOKUP(Q36,original!B:C,2,FALSE)</f>
        <v>Multicomponent Tf2O‑Triggered Dearomative Triazinylmethylation of Isoquinolines Using Acetonitrile</v>
      </c>
      <c r="U36" s="13" t="s">
        <v>917</v>
      </c>
      <c r="V36" t="str">
        <f t="shared" si="7"/>
        <v>jo4c02834</v>
      </c>
      <c r="W36" t="str">
        <f t="shared" si="8"/>
        <v>jo4c02834_si_001.zip</v>
      </c>
      <c r="X36" t="str">
        <f t="shared" si="9"/>
        <v>https://acs.figshare.com/articles/dataset/Multicomponent_Tf_sub_2_sub_O_Triggered_Dearomative_Triazinylmethylation_of_Isoquinolines_Using_Acetonitrile/28409303</v>
      </c>
      <c r="Y36" s="1" t="str">
        <f t="shared" si="13"/>
        <v>--localSource c:/temp/acs2/data --targetDir c:/temp/acs2/$DOI$ --noDownload --readOnly  --pubDOI https://doi.org/10.1021/acs.joc.4c02834 --dataDOI "10.1021/acs.joc.4c02834https://acs.figshare.com/articles/dataset/Multicomponent_Tf_sub_2_sub_O_Triggered_Dearomative_Triazinylmethylation_of_Isoquinolines_Using_Acetonitrile/28409303"</v>
      </c>
      <c r="Z36" t="str">
        <f t="shared" si="10"/>
        <v>&lt;br&gt;&lt;a href="https://doi.org/10.1021/acs.joc.4c02834.s001"&gt;https://doi.org/10.1021/acs.joc.4c02834.s001&lt;/a&gt;</v>
      </c>
      <c r="AA36" t="str">
        <f t="shared" si="11"/>
        <v>ol5c02414_si_002.zip</v>
      </c>
      <c r="AB36" t="s">
        <v>1106</v>
      </c>
    </row>
    <row r="37" spans="1:28" x14ac:dyDescent="0.35">
      <c r="A37">
        <v>36</v>
      </c>
      <c r="B37" s="5" t="str">
        <f t="shared" si="0"/>
        <v>jo4c02842</v>
      </c>
      <c r="C37" s="1" t="str">
        <f t="shared" si="1"/>
        <v>jo4c02842</v>
      </c>
      <c r="D37">
        <f>IF(F37=1,"",IF(AND(D36="",S36=S37),"",S37-SUM(F$2:F36)))</f>
        <v>19</v>
      </c>
      <c r="E37" t="str">
        <f t="shared" si="2"/>
        <v>0</v>
      </c>
      <c r="F37">
        <v>0</v>
      </c>
      <c r="H37">
        <v>15</v>
      </c>
      <c r="I37">
        <v>30</v>
      </c>
      <c r="M37" t="str">
        <f t="shared" si="3"/>
        <v>/*19 jo4c02842 */"https://doi.org/10.1021/acs.joc.4c02842.s002",//One-Pot Alkynylation/Isomerization Cascade of β‑Formylated Enoates to Functionalized Ynones</v>
      </c>
      <c r="N37" t="e">
        <f t="shared" si="4"/>
        <v>#N/A</v>
      </c>
      <c r="O37" t="b">
        <f t="shared" si="5"/>
        <v>0</v>
      </c>
      <c r="P37" s="13" t="s">
        <v>903</v>
      </c>
      <c r="Q37" s="13" t="s">
        <v>904</v>
      </c>
      <c r="R37" t="str">
        <f t="shared" si="6"/>
        <v>002</v>
      </c>
      <c r="S37">
        <f t="shared" si="12"/>
        <v>22</v>
      </c>
      <c r="T37" s="13" t="str">
        <f>VLOOKUP(Q37,original!B:C,2,FALSE)</f>
        <v>One-Pot Alkynylation/Isomerization Cascade of β‑Formylated Enoates to Functionalized Ynones</v>
      </c>
      <c r="U37" s="13" t="s">
        <v>905</v>
      </c>
      <c r="V37" t="str">
        <f t="shared" si="7"/>
        <v>jo4c02842</v>
      </c>
      <c r="W37" t="str">
        <f t="shared" si="8"/>
        <v>jo4c02842_si_002.zip</v>
      </c>
      <c r="X37" t="str">
        <f t="shared" si="9"/>
        <v>https://acs.figshare.com/articles/dataset/One-Pot_Alkynylation_Isomerization_Cascade_of_Formylated_Enoates_to_Functionalized_Ynones/28462438</v>
      </c>
      <c r="Y37" s="1" t="str">
        <f t="shared" si="13"/>
        <v>--localSource c:/temp/acs2/data --targetDir c:/temp/acs2/$DOI$ --noDownload --readOnly  --pubDOI https://doi.org/10.1021/acs.joc.4c02842 --dataDOI "10.1021/acs.joc.4c02842https://acs.figshare.com/articles/dataset/One-Pot_Alkynylation_Isomerization_Cascade_of_Formylated_Enoates_to_Functionalized_Ynones/28462438"</v>
      </c>
      <c r="Z37" t="str">
        <f t="shared" si="10"/>
        <v>&lt;br&gt;&lt;a href="https://doi.org/10.1021/acs.joc.4c02842.s002"&gt;https://doi.org/10.1021/acs.joc.4c02842.s002&lt;/a&gt;</v>
      </c>
      <c r="AA37" t="str">
        <f t="shared" si="11"/>
        <v>ol5c02624_si_001.zip</v>
      </c>
      <c r="AB37" t="s">
        <v>1107</v>
      </c>
    </row>
    <row r="38" spans="1:28" x14ac:dyDescent="0.35">
      <c r="A38">
        <v>37</v>
      </c>
      <c r="B38" s="5" t="str">
        <f t="shared" si="0"/>
        <v>jo4c02844</v>
      </c>
      <c r="C38" s="1" t="str">
        <f t="shared" si="1"/>
        <v>jo4c02844</v>
      </c>
      <c r="D38">
        <f>IF(F38=1,"",IF(AND(D37="",S37=S38),"",S38-SUM(F$2:F37)))</f>
        <v>20</v>
      </c>
      <c r="E38" t="str">
        <f t="shared" si="2"/>
        <v>0</v>
      </c>
      <c r="F38">
        <v>0</v>
      </c>
      <c r="H38">
        <v>30</v>
      </c>
      <c r="I38">
        <v>30</v>
      </c>
      <c r="M38" t="str">
        <f t="shared" si="3"/>
        <v>/*20 jo4c02844 */"https://doi.org/10.1021/acs.joc.4c02844.s002",//Heteroarylstilbenes: Visible-Light-Tunable Photochromic Systems in Water</v>
      </c>
      <c r="N38" t="e">
        <f t="shared" si="4"/>
        <v>#N/A</v>
      </c>
      <c r="O38" t="b">
        <f t="shared" si="5"/>
        <v>0</v>
      </c>
      <c r="P38" s="13" t="s">
        <v>807</v>
      </c>
      <c r="Q38" s="13" t="s">
        <v>808</v>
      </c>
      <c r="R38" t="str">
        <f t="shared" si="6"/>
        <v>002</v>
      </c>
      <c r="S38">
        <f t="shared" si="12"/>
        <v>23</v>
      </c>
      <c r="T38" s="13" t="str">
        <f>VLOOKUP(Q38,original!B:C,2,FALSE)</f>
        <v>Heteroarylstilbenes: Visible-Light-Tunable Photochromic Systems in Water</v>
      </c>
      <c r="U38" s="13" t="s">
        <v>810</v>
      </c>
      <c r="V38" t="str">
        <f t="shared" si="7"/>
        <v>jo4c02844</v>
      </c>
      <c r="W38" t="str">
        <f t="shared" si="8"/>
        <v>jo4c02844_si_002.zip</v>
      </c>
      <c r="X38" t="str">
        <f t="shared" si="9"/>
        <v>https://acs.figshare.com/articles/dataset/Heteroarylstilbenes_Visible-Light-Tunable_Photochromic_Systems_in_Water/28633714</v>
      </c>
      <c r="Y38" s="1" t="str">
        <f t="shared" si="13"/>
        <v>--localSource c:/temp/acs2/data --targetDir c:/temp/acs2/$DOI$ --noDownload --readOnly  --pubDOI https://doi.org/10.1021/acs.joc.4c02844 --dataDOI "10.1021/acs.joc.4c02844https://acs.figshare.com/articles/dataset/Heteroarylstilbenes_Visible-Light-Tunable_Photochromic_Systems_in_Water/28633714"</v>
      </c>
      <c r="Z38" t="str">
        <f t="shared" si="10"/>
        <v>&lt;br&gt;&lt;a href="https://doi.org/10.1021/acs.joc.4c02844.s002"&gt;https://doi.org/10.1021/acs.joc.4c02844.s002&lt;/a&gt;</v>
      </c>
      <c r="AA38" t="str">
        <f t="shared" si="11"/>
        <v>ol5c02659_si_001.zip</v>
      </c>
      <c r="AB38" t="s">
        <v>1108</v>
      </c>
    </row>
    <row r="39" spans="1:28" x14ac:dyDescent="0.35">
      <c r="A39">
        <v>38</v>
      </c>
      <c r="B39" s="5" t="str">
        <f t="shared" si="0"/>
        <v>jo4c02860</v>
      </c>
      <c r="C39" s="1" t="str">
        <f t="shared" si="1"/>
        <v>jo4c02860</v>
      </c>
      <c r="D39">
        <f>IF(F39=1,"",IF(AND(D38="",S38=S39),"",S39-SUM(F$2:F38)))</f>
        <v>21</v>
      </c>
      <c r="E39" t="str">
        <f t="shared" si="2"/>
        <v>0</v>
      </c>
      <c r="F39">
        <v>0</v>
      </c>
      <c r="H39">
        <v>64</v>
      </c>
      <c r="I39">
        <v>133</v>
      </c>
      <c r="M39" t="str">
        <f t="shared" si="3"/>
        <v>/*21 jo4c02860 */"https://doi.org/10.1021/acs.joc.4c02860.s001",//Nickel-Catalyzed One-Pot H/D Exchange and Asymmetric Michael Addition in the Presence of D2O</v>
      </c>
      <c r="N39" t="e">
        <f t="shared" si="4"/>
        <v>#N/A</v>
      </c>
      <c r="O39" t="b">
        <f t="shared" si="5"/>
        <v>0</v>
      </c>
      <c r="P39" s="13" t="s">
        <v>784</v>
      </c>
      <c r="Q39" s="13" t="s">
        <v>785</v>
      </c>
      <c r="R39" t="str">
        <f t="shared" si="6"/>
        <v>001</v>
      </c>
      <c r="S39">
        <f t="shared" si="12"/>
        <v>24</v>
      </c>
      <c r="T39" s="13" t="str">
        <f>VLOOKUP(Q39,original!B:C,2,FALSE)</f>
        <v>Nickel-Catalyzed One-Pot H/D Exchange and Asymmetric Michael Addition in the Presence of D2O</v>
      </c>
      <c r="U39" s="13" t="s">
        <v>787</v>
      </c>
      <c r="V39" t="str">
        <f t="shared" si="7"/>
        <v>jo4c02860</v>
      </c>
      <c r="W39" t="str">
        <f t="shared" si="8"/>
        <v>jo4c02860_si_001.zip</v>
      </c>
      <c r="X39" t="str">
        <f t="shared" si="9"/>
        <v>https://acs.figshare.com/articles/dataset/Nickel-Catalyzed_One-Pot_H_D_Exchange_and_Asymmetric_Michael_Addition_in_the_Presence_of_D_sub_2_sub_O/28652364</v>
      </c>
      <c r="Y39" s="1" t="str">
        <f t="shared" si="13"/>
        <v>--localSource c:/temp/acs2/data --targetDir c:/temp/acs2/$DOI$ --noDownload --readOnly  --pubDOI https://doi.org/10.1021/acs.joc.4c02860 --dataDOI "10.1021/acs.joc.4c02860https://acs.figshare.com/articles/dataset/Nickel-Catalyzed_One-Pot_H_D_Exchange_and_Asymmetric_Michael_Addition_in_the_Presence_of_D_sub_2_sub_O/28652364"</v>
      </c>
      <c r="Z39" t="str">
        <f t="shared" si="10"/>
        <v>&lt;br&gt;&lt;a href="https://doi.org/10.1021/acs.joc.4c02860.s001"&gt;https://doi.org/10.1021/acs.joc.4c02860.s001&lt;/a&gt;</v>
      </c>
      <c r="AA39" t="str">
        <f t="shared" si="11"/>
        <v>ol5c02706_si_001.zip</v>
      </c>
      <c r="AB39" t="s">
        <v>1109</v>
      </c>
    </row>
    <row r="40" spans="1:28" x14ac:dyDescent="0.35">
      <c r="A40">
        <v>39</v>
      </c>
      <c r="B40" s="5" t="str">
        <f t="shared" si="0"/>
        <v>jo4c02893</v>
      </c>
      <c r="C40" s="1" t="str">
        <f t="shared" si="1"/>
        <v xml:space="preserve">jo4c02893 # fixed problems with 1[H].zip </v>
      </c>
      <c r="D40">
        <f>IF(F40=1,"",IF(AND(D39="",S39=S40),"",S40-SUM(F$2:F39)))</f>
        <v>22</v>
      </c>
      <c r="E40" t="str">
        <f t="shared" si="2"/>
        <v>0</v>
      </c>
      <c r="F40">
        <v>0</v>
      </c>
      <c r="G40" t="s">
        <v>1127</v>
      </c>
      <c r="H40">
        <v>4</v>
      </c>
      <c r="I40">
        <v>16</v>
      </c>
      <c r="M40" t="str">
        <f t="shared" si="3"/>
        <v>/*22 jo4c02893 */"https://doi.org/10.1021/acs.joc.4c02893.s002",//A Photo-Smiles Rearrangement: Mechanistic Investigation of the Formation of Blatter Radical Helicenes</v>
      </c>
      <c r="N40" t="e">
        <f t="shared" si="4"/>
        <v>#N/A</v>
      </c>
      <c r="O40" t="b">
        <f t="shared" si="5"/>
        <v>0</v>
      </c>
      <c r="P40" s="13" t="s">
        <v>937</v>
      </c>
      <c r="Q40" s="13" t="s">
        <v>938</v>
      </c>
      <c r="R40" t="str">
        <f t="shared" si="6"/>
        <v>002</v>
      </c>
      <c r="S40">
        <f t="shared" si="12"/>
        <v>25</v>
      </c>
      <c r="T40" s="13" t="str">
        <f>VLOOKUP(Q40,original!B:C,2,FALSE)</f>
        <v>A Photo-Smiles Rearrangement: Mechanistic Investigation of the Formation of Blatter Radical Helicenes</v>
      </c>
      <c r="U40" s="13" t="s">
        <v>940</v>
      </c>
      <c r="V40" t="str">
        <f t="shared" si="7"/>
        <v>jo4c02893</v>
      </c>
      <c r="W40" t="str">
        <f t="shared" si="8"/>
        <v>jo4c02893_si_002.zip</v>
      </c>
      <c r="X40" t="str">
        <f t="shared" si="9"/>
        <v>https://acs.figshare.com/articles/dataset/A_Photo-Smiles_Rearrangement_Mechanistic_Investigation_of_the_Formation_of_Blatter_Radical_Helicenes/28356374</v>
      </c>
      <c r="Y40" s="1" t="str">
        <f t="shared" si="13"/>
        <v>--localSource c:/temp/acs2/data --targetDir c:/temp/acs2/$DOI$ --noDownload --readOnly  --pubDOI https://doi.org/10.1021/acs.joc.4c02893 --dataDOI "10.1021/acs.joc.4c02893https://acs.figshare.com/articles/dataset/A_Photo-Smiles_Rearrangement_Mechanistic_Investigation_of_the_Formation_of_Blatter_Radical_Helicenes/28356374"</v>
      </c>
      <c r="Z40" t="str">
        <f t="shared" si="10"/>
        <v>&lt;br&gt;&lt;a href="https://doi.org/10.1021/acs.joc.4c02893.s002"&gt;https://doi.org/10.1021/acs.joc.4c02893.s002&lt;/a&gt;</v>
      </c>
      <c r="AA40" t="str">
        <f t="shared" si="11"/>
        <v>ol5c03358_si_002.zip</v>
      </c>
      <c r="AB40" t="s">
        <v>1110</v>
      </c>
    </row>
    <row r="41" spans="1:28" x14ac:dyDescent="0.35">
      <c r="A41">
        <v>40</v>
      </c>
      <c r="B41" s="5" t="str">
        <f t="shared" si="0"/>
        <v>jo4c02921</v>
      </c>
      <c r="C41" s="1" t="str">
        <f t="shared" si="1"/>
        <v>jo4c02921</v>
      </c>
      <c r="D41">
        <f>IF(F41=1,"",IF(AND(D40="",S40=S41),"",S41-SUM(F$2:F40)))</f>
        <v>23</v>
      </c>
      <c r="E41" t="str">
        <f t="shared" si="2"/>
        <v>0</v>
      </c>
      <c r="F41">
        <v>0</v>
      </c>
      <c r="H41">
        <v>57</v>
      </c>
      <c r="I41">
        <v>191</v>
      </c>
      <c r="M41" t="str">
        <f t="shared" si="3"/>
        <v>/*23 jo4c02921 */"https://doi.org/10.1021/acs.joc.4c02921.s002",//Enantioselective Synthesis of Spirocyclic Isoxazolones Using a Conia-Ene Type Reaction</v>
      </c>
      <c r="N41" t="e">
        <f t="shared" si="4"/>
        <v>#N/A</v>
      </c>
      <c r="O41" t="b">
        <f t="shared" si="5"/>
        <v>0</v>
      </c>
      <c r="P41" s="13" t="s">
        <v>855</v>
      </c>
      <c r="Q41" s="13" t="s">
        <v>856</v>
      </c>
      <c r="R41" t="str">
        <f t="shared" si="6"/>
        <v>002</v>
      </c>
      <c r="S41">
        <f t="shared" si="12"/>
        <v>26</v>
      </c>
      <c r="T41" s="13" t="str">
        <f>VLOOKUP(Q41,original!B:C,2,FALSE)</f>
        <v>Enantioselective Synthesis of Spirocyclic Isoxazolones Using a Conia-Ene Type Reaction</v>
      </c>
      <c r="U41" s="13" t="s">
        <v>858</v>
      </c>
      <c r="V41" t="str">
        <f t="shared" si="7"/>
        <v>jo4c02921</v>
      </c>
      <c r="W41" t="str">
        <f t="shared" si="8"/>
        <v>jo4c02921_si_002.zip</v>
      </c>
      <c r="X41" t="str">
        <f t="shared" si="9"/>
        <v>https://acs.figshare.com/articles/dataset/Enantioselective_Synthesis_of_Spirocyclic_Isoxazolones_Using_a_Conia-Ene_Type_Reaction/28540143</v>
      </c>
      <c r="Y41" s="1" t="str">
        <f t="shared" si="13"/>
        <v>--localSource c:/temp/acs2/data --targetDir c:/temp/acs2/$DOI$ --noDownload --readOnly  --pubDOI https://doi.org/10.1021/acs.joc.4c02921 --dataDOI "10.1021/acs.joc.4c02921https://acs.figshare.com/articles/dataset/Enantioselective_Synthesis_of_Spirocyclic_Isoxazolones_Using_a_Conia-Ene_Type_Reaction/28540143"</v>
      </c>
      <c r="Z41" t="str">
        <f t="shared" si="10"/>
        <v>&lt;br&gt;&lt;a href="https://doi.org/10.1021/acs.joc.4c02921.s002"&gt;https://doi.org/10.1021/acs.joc.4c02921.s002&lt;/a&gt;</v>
      </c>
      <c r="AA41" t="str">
        <f t="shared" si="11"/>
        <v>ol5c03358_si_003.zip</v>
      </c>
      <c r="AB41" t="s">
        <v>1111</v>
      </c>
    </row>
    <row r="42" spans="1:28" x14ac:dyDescent="0.35">
      <c r="A42">
        <v>41</v>
      </c>
      <c r="B42" s="5" t="str">
        <f t="shared" si="0"/>
        <v>jo4c02967</v>
      </c>
      <c r="C42" s="1" t="str">
        <f t="shared" si="1"/>
        <v>jo4c02967</v>
      </c>
      <c r="D42">
        <f>IF(F42=1,"",IF(AND(D41="",S41=S42),"",S42-SUM(F$2:F41)))</f>
        <v>24</v>
      </c>
      <c r="E42" t="str">
        <f t="shared" si="2"/>
        <v>0</v>
      </c>
      <c r="F42">
        <v>0</v>
      </c>
      <c r="H42">
        <v>9</v>
      </c>
      <c r="I42">
        <v>17</v>
      </c>
      <c r="M42" t="str">
        <f t="shared" si="3"/>
        <v>/*24 jo4c02967 */"https://doi.org/10.1021/acs.joc.4c02967.s002",//Vicinal Thiosulfonylation of ortho-(Alkynyl)benzyl Thiosulfonates/Sulfurothioates for Direct Synthesis of Sulfonyl-Derived Isothiochromenes</v>
      </c>
      <c r="N42" t="e">
        <f t="shared" si="4"/>
        <v>#N/A</v>
      </c>
      <c r="O42" t="b">
        <f t="shared" si="5"/>
        <v>0</v>
      </c>
      <c r="P42" s="13" t="s">
        <v>848</v>
      </c>
      <c r="Q42" s="13" t="s">
        <v>849</v>
      </c>
      <c r="R42" t="str">
        <f t="shared" si="6"/>
        <v>002</v>
      </c>
      <c r="S42">
        <f t="shared" si="12"/>
        <v>27</v>
      </c>
      <c r="T42" s="13" t="str">
        <f>VLOOKUP(Q42,original!B:C,2,FALSE)</f>
        <v>Vicinal Thiosulfonylation of ortho-(Alkynyl)benzyl Thiosulfonates/Sulfurothioates for Direct Synthesis of Sulfonyl-Derived Isothiochromenes</v>
      </c>
      <c r="U42" s="13" t="s">
        <v>851</v>
      </c>
      <c r="V42" t="str">
        <f t="shared" si="7"/>
        <v>jo4c02967</v>
      </c>
      <c r="W42" t="str">
        <f t="shared" si="8"/>
        <v>jo4c02967_si_002.zip</v>
      </c>
      <c r="X42" t="str">
        <f t="shared" si="9"/>
        <v>https://acs.figshare.com/articles/dataset/Vicinal_Thiosulfonylation_of_i_ortho_i_-_Alkynyl_benzyl_Thiosulfonates_Sulfurothioates_for_Direct_Synthesis_of_Sulfonyl-Derived_Isothiochromenes/28543588</v>
      </c>
      <c r="Y42" s="1" t="str">
        <f t="shared" si="13"/>
        <v>--localSource c:/temp/acs2/data --targetDir c:/temp/acs2/$DOI$ --noDownload --readOnly  --pubDOI https://doi.org/10.1021/acs.joc.4c02967 --dataDOI "10.1021/acs.joc.4c02967https://acs.figshare.com/articles/dataset/Vicinal_Thiosulfonylation_of_i_ortho_i_-_Alkynyl_benzyl_Thiosulfonates_Sulfurothioates_for_Direct_Synthesis_of_Sulfonyl-Derived_Isothiochromenes/28543588"</v>
      </c>
      <c r="Z42" t="str">
        <f t="shared" si="10"/>
        <v>&lt;br&gt;&lt;a href="https://doi.org/10.1021/acs.joc.4c02967.s002"&gt;https://doi.org/10.1021/acs.joc.4c02967.s002&lt;/a&gt;</v>
      </c>
      <c r="AA42" t="str">
        <f t="shared" si="11"/>
        <v>ol5c03410_si_002.zip</v>
      </c>
      <c r="AB42" t="s">
        <v>1112</v>
      </c>
    </row>
    <row r="43" spans="1:28" x14ac:dyDescent="0.35">
      <c r="A43">
        <v>42</v>
      </c>
      <c r="B43" s="5" t="str">
        <f t="shared" si="0"/>
        <v>jo4c03015</v>
      </c>
      <c r="C43" s="1" t="str">
        <f t="shared" si="1"/>
        <v>jo4c03015</v>
      </c>
      <c r="D43">
        <f>IF(F43=1,"",IF(AND(D42="",S42=S43),"",S43-SUM(F$2:F42)))</f>
        <v>25</v>
      </c>
      <c r="E43" t="str">
        <f t="shared" si="2"/>
        <v>0</v>
      </c>
      <c r="F43">
        <v>0</v>
      </c>
      <c r="H43">
        <v>4</v>
      </c>
      <c r="I43">
        <v>5</v>
      </c>
      <c r="M43" t="str">
        <f t="shared" si="3"/>
        <v>/*25 jo4c03015 */"https://doi.org/10.1021/acs.joc.4c03015.s002",//B←N Lewis Pair-Functionalized Perylenes: Tuning Optoelectronic Properties via Regioisomerization</v>
      </c>
      <c r="N43" t="e">
        <f t="shared" si="4"/>
        <v>#N/A</v>
      </c>
      <c r="O43" t="b">
        <f t="shared" si="5"/>
        <v>0</v>
      </c>
      <c r="P43" s="13" t="s">
        <v>912</v>
      </c>
      <c r="Q43" s="13" t="s">
        <v>913</v>
      </c>
      <c r="R43" t="str">
        <f t="shared" si="6"/>
        <v>002</v>
      </c>
      <c r="S43">
        <f t="shared" si="12"/>
        <v>28</v>
      </c>
      <c r="T43" s="13" t="str">
        <f>VLOOKUP(Q43,original!B:C,2,FALSE)</f>
        <v>B←N Lewis Pair-Functionalized Perylenes: Tuning Optoelectronic Properties via Regioisomerization</v>
      </c>
      <c r="U43" s="13" t="s">
        <v>914</v>
      </c>
      <c r="V43" t="str">
        <f t="shared" si="7"/>
        <v>jo4c03015</v>
      </c>
      <c r="W43" t="str">
        <f t="shared" si="8"/>
        <v>jo4c03015_si_002.zip</v>
      </c>
      <c r="X43" t="str">
        <f t="shared" si="9"/>
        <v>https://acs.figshare.com/articles/dataset/B_N_Lewis_Pair-Functionalized_Perylenes_Tuning_Optoelectronic_Properties_via_Regioisomerization/28418143</v>
      </c>
      <c r="Y43" s="1" t="str">
        <f t="shared" si="13"/>
        <v>--localSource c:/temp/acs2/data --targetDir c:/temp/acs2/$DOI$ --noDownload --readOnly  --pubDOI https://doi.org/10.1021/acs.joc.4c03015 --dataDOI "10.1021/acs.joc.4c03015https://acs.figshare.com/articles/dataset/B_N_Lewis_Pair-Functionalized_Perylenes_Tuning_Optoelectronic_Properties_via_Regioisomerization/28418143"</v>
      </c>
      <c r="Z43" t="str">
        <f t="shared" si="10"/>
        <v>&lt;br&gt;&lt;a href="https://doi.org/10.1021/acs.joc.4c03015.s002"&gt;https://doi.org/10.1021/acs.joc.4c03015.s002&lt;/a&gt;</v>
      </c>
      <c r="AA43" t="str">
        <f t="shared" si="11"/>
        <v>ol5c03764_si_002.zip</v>
      </c>
      <c r="AB43" t="s">
        <v>1113</v>
      </c>
    </row>
    <row r="44" spans="1:28" x14ac:dyDescent="0.35">
      <c r="A44">
        <v>43</v>
      </c>
      <c r="B44" s="5" t="str">
        <f t="shared" si="0"/>
        <v>jo4c03046</v>
      </c>
      <c r="C44" s="1" t="str">
        <f t="shared" si="1"/>
        <v/>
      </c>
      <c r="D44">
        <f>IF(F44=1,"",IF(AND(D43="",S43=S44),"",S44-SUM(F$2:F43)))</f>
        <v>26</v>
      </c>
      <c r="E44" t="str">
        <f t="shared" si="2"/>
        <v>0</v>
      </c>
      <c r="F44">
        <v>0</v>
      </c>
      <c r="M44" t="str">
        <f t="shared" si="3"/>
        <v>/*26 jo4c03046 */"https://doi.org/10.1021/acs.joc.4c03046.s002",//Quantification of the H‑Bond-Donating Ability of Trifluoromethyl Ketone Hydrates Using a Colorimetric Sensor</v>
      </c>
      <c r="N44" t="e">
        <f t="shared" si="4"/>
        <v>#N/A</v>
      </c>
      <c r="O44" t="b">
        <f t="shared" si="5"/>
        <v>0</v>
      </c>
      <c r="P44" s="13" t="s">
        <v>680</v>
      </c>
      <c r="Q44" s="13" t="s">
        <v>681</v>
      </c>
      <c r="R44" t="str">
        <f t="shared" si="6"/>
        <v>002</v>
      </c>
      <c r="S44">
        <f t="shared" si="12"/>
        <v>29</v>
      </c>
      <c r="T44" s="13" t="str">
        <f>VLOOKUP(Q44,original!B:C,2,FALSE)</f>
        <v>Quantification of the H‑Bond-Donating Ability of Trifluoromethyl Ketone Hydrates Using a Colorimetric Sensor</v>
      </c>
      <c r="U44" s="13" t="s">
        <v>679</v>
      </c>
      <c r="V44" t="str">
        <f t="shared" si="7"/>
        <v>jo4c03046</v>
      </c>
      <c r="W44" t="str">
        <f t="shared" si="8"/>
        <v>jo4c03046_si_002.zip</v>
      </c>
      <c r="X44" t="str">
        <f t="shared" si="9"/>
        <v>https://acs.figshare.com/articles/dataset/Quantification_of_the_H_Bond-Donating_Ability_of_Trifluoromethyl_Ketone_Hydrates_Using_a_Colorimetric_Sensor/29082663</v>
      </c>
      <c r="Y44" s="1" t="str">
        <f t="shared" si="13"/>
        <v/>
      </c>
      <c r="Z44" t="str">
        <f t="shared" si="10"/>
        <v>&lt;br&gt;&lt;a href="https://doi.org/10.1021/acs.joc.4c03046.s002"&gt;https://doi.org/10.1021/acs.joc.4c03046.s002&lt;/a&gt;</v>
      </c>
      <c r="AA44" t="str">
        <f t="shared" si="11"/>
        <v>ol5c04043_si_002.zip</v>
      </c>
      <c r="AB44" t="s">
        <v>1114</v>
      </c>
    </row>
    <row r="45" spans="1:28" x14ac:dyDescent="0.35">
      <c r="A45">
        <v>44</v>
      </c>
      <c r="B45" s="5" t="str">
        <f t="shared" si="0"/>
        <v>jo4c03046</v>
      </c>
      <c r="C45" s="1" t="str">
        <f t="shared" si="1"/>
        <v>jo4c03046</v>
      </c>
      <c r="D45">
        <f>IF(F45=1,"",IF(AND(D44="",S44=S45),"",S45-SUM(F$2:F44)))</f>
        <v>26</v>
      </c>
      <c r="E45" t="str">
        <f t="shared" si="2"/>
        <v>1</v>
      </c>
      <c r="F45">
        <v>0</v>
      </c>
      <c r="H45">
        <v>14</v>
      </c>
      <c r="I45">
        <v>15</v>
      </c>
      <c r="M45" t="str">
        <f t="shared" si="3"/>
        <v>/*26 jo4c03046 */"https://doi.org/10.1021/acs.joc.4c03046.s003",//Quantification of the H‑Bond-Donating Ability of Trifluoromethyl Ketone Hydrates Using a Colorimetric Sensor</v>
      </c>
      <c r="N45" t="e">
        <f t="shared" si="4"/>
        <v>#N/A</v>
      </c>
      <c r="O45" t="b">
        <f t="shared" si="5"/>
        <v>0</v>
      </c>
      <c r="P45" s="13" t="s">
        <v>677</v>
      </c>
      <c r="Q45" s="13" t="s">
        <v>678</v>
      </c>
      <c r="R45" t="str">
        <f t="shared" si="6"/>
        <v>003</v>
      </c>
      <c r="S45">
        <f t="shared" si="12"/>
        <v>29</v>
      </c>
      <c r="T45" s="13" t="str">
        <f>VLOOKUP(Q45,original!B:C,2,FALSE)</f>
        <v>Quantification of the H‑Bond-Donating Ability of Trifluoromethyl Ketone Hydrates Using a Colorimetric Sensor</v>
      </c>
      <c r="U45" s="13" t="s">
        <v>679</v>
      </c>
      <c r="V45" t="str">
        <f t="shared" si="7"/>
        <v>jo4c03046</v>
      </c>
      <c r="W45" t="str">
        <f t="shared" si="8"/>
        <v>jo4c03046_si_003.zip</v>
      </c>
      <c r="X45" t="str">
        <f t="shared" si="9"/>
        <v>https://acs.figshare.com/articles/dataset/Quantification_of_the_H_Bond-Donating_Ability_of_Trifluoromethyl_Ketone_Hydrates_Using_a_Colorimetric_Sensor/29082663\thttps://acs.figshare.com/articles/dataset/Quantification_of_the_H_Bond-Donating_Ability_of_Trifluoromethyl_Ketone_Hydrates_Using_a_Colorimetric_Sensor/29082666</v>
      </c>
      <c r="Y45" s="1" t="str">
        <f t="shared" si="13"/>
        <v>--localSource c:/temp/acs2/data --targetDir c:/temp/acs2/$DOI$ --noDownload --readOnly  --pubDOI https://doi.org/10.1021/acs.joc.4c03046 --dataDOI "10.1021/acs.joc.4c03046https://acs.figshare.com/articles/dataset/Quantification_of_the_H_Bond-Donating_Ability_of_Trifluoromethyl_Ketone_Hydrates_Using_a_Colorimetric_Sensor/29082663\thttps://acs.figshare.com/articles/dataset/Quantification_of_the_H_Bond-Donating_Ability_of_Trifluoromethyl_Ketone_Hydrates_Using_a_Colorimetric_Sensor/29082666"</v>
      </c>
      <c r="Z45" t="str">
        <f t="shared" si="10"/>
        <v>&lt;br&gt;&lt;a href="https://doi.org/10.1021/acs.joc.4c03046.s003"&gt;https://doi.org/10.1021/acs.joc.4c03046.s003&lt;/a&gt;</v>
      </c>
      <c r="AA45" t="str">
        <f t="shared" si="11"/>
        <v>ol5c04126_si_002.zip</v>
      </c>
      <c r="AB45" t="s">
        <v>1115</v>
      </c>
    </row>
    <row r="46" spans="1:28" x14ac:dyDescent="0.35">
      <c r="A46">
        <v>45</v>
      </c>
      <c r="B46" s="5" t="str">
        <f t="shared" si="0"/>
        <v>jo4c03071</v>
      </c>
      <c r="C46" s="1" t="str">
        <f t="shared" si="1"/>
        <v>jo4c03071</v>
      </c>
      <c r="D46">
        <f>IF(F46=1,"",IF(AND(D45="",S45=S46),"",S46-SUM(F$2:F45)))</f>
        <v>27</v>
      </c>
      <c r="E46" t="str">
        <f t="shared" si="2"/>
        <v>0</v>
      </c>
      <c r="F46">
        <v>0</v>
      </c>
      <c r="H46">
        <v>26</v>
      </c>
      <c r="I46">
        <v>51</v>
      </c>
      <c r="M46" t="str">
        <f t="shared" si="3"/>
        <v>/*27 jo4c03071 */"https://doi.org/10.1021/acs.joc.4c03071.s001",//Tandem Synthesis of Polysubstituted Pyrroles via Cu(I)-Catalyzed Cyclization of Ketene N,S-Acetals with β‑Ketodinitriles</v>
      </c>
      <c r="N46" t="e">
        <f t="shared" si="4"/>
        <v>#N/A</v>
      </c>
      <c r="O46" t="b">
        <f t="shared" si="5"/>
        <v>0</v>
      </c>
      <c r="P46" s="13" t="s">
        <v>829</v>
      </c>
      <c r="Q46" s="13" t="s">
        <v>830</v>
      </c>
      <c r="R46" t="str">
        <f t="shared" si="6"/>
        <v>001</v>
      </c>
      <c r="S46">
        <f t="shared" si="12"/>
        <v>30</v>
      </c>
      <c r="T46" s="13" t="str">
        <f>VLOOKUP(Q46,original!B:C,2,FALSE)</f>
        <v>Tandem Synthesis of Polysubstituted Pyrroles via Cu(I)-Catalyzed Cyclization of Ketene N,S-Acetals with β‑Ketodinitriles</v>
      </c>
      <c r="U46" s="13" t="s">
        <v>831</v>
      </c>
      <c r="V46" t="str">
        <f t="shared" si="7"/>
        <v>jo4c03071</v>
      </c>
      <c r="W46" t="str">
        <f t="shared" si="8"/>
        <v>jo4c03071_si_001.zip</v>
      </c>
      <c r="X46" t="str">
        <f t="shared" si="9"/>
        <v>https://acs.figshare.com/articles/dataset/Tandem_Synthesis_of_Polysubstituted_Pyrroles_via_Cu_I_-Catalyzed_Cyclization_of_Ketene_i_N_S_i_-Acetals_with_Ketodinitriles/28575111</v>
      </c>
      <c r="Y46" s="1" t="str">
        <f t="shared" si="13"/>
        <v>--localSource c:/temp/acs2/data --targetDir c:/temp/acs2/$DOI$ --noDownload --readOnly  --pubDOI https://doi.org/10.1021/acs.joc.4c03071 --dataDOI "10.1021/acs.joc.4c03071https://acs.figshare.com/articles/dataset/Tandem_Synthesis_of_Polysubstituted_Pyrroles_via_Cu_I_-Catalyzed_Cyclization_of_Ketene_i_N_S_i_-Acetals_with_Ketodinitriles/28575111"</v>
      </c>
      <c r="Z46" t="str">
        <f t="shared" si="10"/>
        <v>&lt;br&gt;&lt;a href="https://doi.org/10.1021/acs.joc.4c03071.s001"&gt;https://doi.org/10.1021/acs.joc.4c03071.s001&lt;/a&gt;</v>
      </c>
      <c r="AA46" t="str">
        <f t="shared" si="11"/>
        <v>ol5c04292_si_002.zip</v>
      </c>
      <c r="AB46" t="s">
        <v>1116</v>
      </c>
    </row>
    <row r="47" spans="1:28" x14ac:dyDescent="0.35">
      <c r="A47">
        <v>46</v>
      </c>
      <c r="B47" s="5" t="str">
        <f t="shared" si="0"/>
        <v>jo4c03085</v>
      </c>
      <c r="C47" s="1" t="str">
        <f t="shared" si="1"/>
        <v>jo4c03085</v>
      </c>
      <c r="D47">
        <f>IF(F47=1,"",IF(AND(D46="",S46=S47),"",S47-SUM(F$2:F46)))</f>
        <v>28</v>
      </c>
      <c r="E47" t="str">
        <f t="shared" si="2"/>
        <v>0</v>
      </c>
      <c r="F47">
        <v>0</v>
      </c>
      <c r="H47">
        <v>118</v>
      </c>
      <c r="I47">
        <v>118</v>
      </c>
      <c r="M47" t="str">
        <f t="shared" si="3"/>
        <v>/*28 jo4c03085 */"https://doi.org/10.1021/acs.joc.4c03085.s002",//A Route to the Mild Synthesis of α‑Selenomethylketones via Vinyl Azides</v>
      </c>
      <c r="N47" t="e">
        <f t="shared" si="4"/>
        <v>#N/A</v>
      </c>
      <c r="O47" t="b">
        <f t="shared" si="5"/>
        <v>0</v>
      </c>
      <c r="P47" s="13" t="s">
        <v>763</v>
      </c>
      <c r="Q47" s="13" t="s">
        <v>764</v>
      </c>
      <c r="R47" t="str">
        <f t="shared" si="6"/>
        <v>002</v>
      </c>
      <c r="S47">
        <f t="shared" si="12"/>
        <v>31</v>
      </c>
      <c r="T47" s="13" t="str">
        <f>VLOOKUP(Q47,original!B:C,2,FALSE)</f>
        <v>A Route to the Mild Synthesis of α‑Selenomethylketones via Vinyl Azides</v>
      </c>
      <c r="U47" s="13" t="s">
        <v>765</v>
      </c>
      <c r="V47" t="str">
        <f t="shared" si="7"/>
        <v>jo4c03085</v>
      </c>
      <c r="W47" t="str">
        <f t="shared" si="8"/>
        <v>jo4c03085_si_002.zip</v>
      </c>
      <c r="X47" t="str">
        <f t="shared" si="9"/>
        <v>https://acs.figshare.com/articles/dataset/A_Route_to_the_Mild_Synthesis_of_Selenomethylketones_via_Vinyl_Azides/28681228</v>
      </c>
      <c r="Y47" s="1" t="str">
        <f t="shared" si="13"/>
        <v>--localSource c:/temp/acs2/data --targetDir c:/temp/acs2/$DOI$ --noDownload --readOnly  --pubDOI https://doi.org/10.1021/acs.joc.4c03085 --dataDOI "10.1021/acs.joc.4c03085https://acs.figshare.com/articles/dataset/A_Route_to_the_Mild_Synthesis_of_Selenomethylketones_via_Vinyl_Azides/28681228"</v>
      </c>
      <c r="Z47" t="str">
        <f t="shared" si="10"/>
        <v>&lt;br&gt;&lt;a href="https://doi.org/10.1021/acs.joc.4c03085.s002"&gt;https://doi.org/10.1021/acs.joc.4c03085.s002&lt;/a&gt;</v>
      </c>
      <c r="AA47" t="str">
        <f t="shared" si="11"/>
        <v>ol5c04570_si_002.zip</v>
      </c>
      <c r="AB47" t="s">
        <v>1117</v>
      </c>
    </row>
    <row r="48" spans="1:28" x14ac:dyDescent="0.35">
      <c r="A48">
        <v>47</v>
      </c>
      <c r="B48" s="5" t="str">
        <f t="shared" si="0"/>
        <v>jo4c03092</v>
      </c>
      <c r="C48" s="1" t="str">
        <f t="shared" si="1"/>
        <v>jo4c03092</v>
      </c>
      <c r="D48">
        <f>IF(F48=1,"",IF(AND(D47="",S47=S48),"",S48-SUM(F$2:F47)))</f>
        <v>29</v>
      </c>
      <c r="E48" t="str">
        <f t="shared" si="2"/>
        <v>0</v>
      </c>
      <c r="F48">
        <v>0</v>
      </c>
      <c r="H48">
        <v>58</v>
      </c>
      <c r="I48">
        <v>119</v>
      </c>
      <c r="M48" t="str">
        <f t="shared" si="3"/>
        <v>/*29 jo4c03092 */"https://doi.org/10.1021/acs.joc.4c03092.s002",//Regio- and Chemoselective Synthesis of Spiro Cyclobutane-Isobenzofuranimines via Cascade Oxycyclization and [2 + 2] Cycloaddition of o‑Alkynolbenzamides</v>
      </c>
      <c r="N48" t="e">
        <f t="shared" si="4"/>
        <v>#N/A</v>
      </c>
      <c r="O48" t="b">
        <f t="shared" si="5"/>
        <v>0</v>
      </c>
      <c r="P48" s="13" t="s">
        <v>275</v>
      </c>
      <c r="Q48" s="13" t="s">
        <v>276</v>
      </c>
      <c r="R48" t="str">
        <f t="shared" si="6"/>
        <v>002</v>
      </c>
      <c r="S48">
        <f t="shared" si="12"/>
        <v>32</v>
      </c>
      <c r="T48" s="13" t="str">
        <f>VLOOKUP(Q48,original!B:C,2,FALSE)</f>
        <v>Regio- and Chemoselective Synthesis of Spiro Cyclobutane-Isobenzofuranimines via Cascade Oxycyclization and [2 + 2] Cycloaddition of o‑Alkynolbenzamides</v>
      </c>
      <c r="U48" s="13" t="s">
        <v>277</v>
      </c>
      <c r="V48" t="str">
        <f t="shared" si="7"/>
        <v>jo4c03092</v>
      </c>
      <c r="W48" t="str">
        <f t="shared" si="8"/>
        <v>jo4c03092_si_002.zip</v>
      </c>
      <c r="X48" t="str">
        <f t="shared" si="9"/>
        <v>https://acs.figshare.com/articles/dataset/Regio-_and_Chemoselective_Synthesis_of_Spiro_Cyclobutane-Isobenzofuranimines_via_Cascade_Oxycyclization_and_2_2_Cycloaddition_of_i_o_i_Alkynolbenzamides/30145504</v>
      </c>
      <c r="Y48" s="1" t="str">
        <f t="shared" si="13"/>
        <v>--localSource c:/temp/acs2/data --targetDir c:/temp/acs2/$DOI$ --noDownload --readOnly  --pubDOI https://doi.org/10.1021/acs.joc.4c03092 --dataDOI "10.1021/acs.joc.4c03092https://acs.figshare.com/articles/dataset/Regio-_and_Chemoselective_Synthesis_of_Spiro_Cyclobutane-Isobenzofuranimines_via_Cascade_Oxycyclization_and_2_2_Cycloaddition_of_i_o_i_Alkynolbenzamides/30145504"</v>
      </c>
      <c r="Z48" t="str">
        <f t="shared" si="10"/>
        <v>&lt;br&gt;&lt;a href="https://doi.org/10.1021/acs.joc.4c03092.s002"&gt;https://doi.org/10.1021/acs.joc.4c03092.s002&lt;/a&gt;</v>
      </c>
      <c r="AA48" t="str">
        <f t="shared" si="11"/>
        <v>ol5c04669_si_002.zip</v>
      </c>
      <c r="AB48" t="s">
        <v>1118</v>
      </c>
    </row>
    <row r="49" spans="1:28" x14ac:dyDescent="0.35">
      <c r="A49">
        <v>48</v>
      </c>
      <c r="B49" s="5" t="str">
        <f t="shared" si="0"/>
        <v>jo4c03094</v>
      </c>
      <c r="C49" s="1" t="str">
        <f t="shared" si="1"/>
        <v>jo4c03094</v>
      </c>
      <c r="D49">
        <f>IF(F49=1,"",IF(AND(D48="",S48=S49),"",S49-SUM(F$2:F48)))</f>
        <v>30</v>
      </c>
      <c r="E49" t="str">
        <f t="shared" si="2"/>
        <v>0</v>
      </c>
      <c r="F49">
        <v>0</v>
      </c>
      <c r="H49">
        <v>103</v>
      </c>
      <c r="I49">
        <v>103</v>
      </c>
      <c r="M49" t="str">
        <f t="shared" si="3"/>
        <v>/*30 jo4c03094 */"https://doi.org/10.1021/acs.joc.4c03094.s002",//Synthesis of a Natural Product-Based 5H‑Thiazolo[5′,4′:5,6]pyrido[2,3‑b]indole Derivative via Solid-Phase Synthesis</v>
      </c>
      <c r="N49" t="e">
        <f t="shared" si="4"/>
        <v>#N/A</v>
      </c>
      <c r="O49" t="b">
        <f t="shared" si="5"/>
        <v>0</v>
      </c>
      <c r="P49" s="13" t="s">
        <v>906</v>
      </c>
      <c r="Q49" s="13" t="s">
        <v>907</v>
      </c>
      <c r="R49" t="str">
        <f t="shared" si="6"/>
        <v>002</v>
      </c>
      <c r="S49">
        <f t="shared" si="12"/>
        <v>33</v>
      </c>
      <c r="T49" s="13" t="str">
        <f>VLOOKUP(Q49,original!B:C,2,FALSE)</f>
        <v>Synthesis of a Natural Product-Based 5H‑Thiazolo[5′,4′:5,6]pyrido[2,3‑b]indole Derivative via Solid-Phase Synthesis</v>
      </c>
      <c r="U49" s="13" t="s">
        <v>908</v>
      </c>
      <c r="V49" t="str">
        <f t="shared" si="7"/>
        <v>jo4c03094</v>
      </c>
      <c r="W49" t="str">
        <f t="shared" si="8"/>
        <v>jo4c03094_si_002.zip</v>
      </c>
      <c r="X49" t="str">
        <f t="shared" si="9"/>
        <v>https://acs.figshare.com/articles/dataset/Synthesis_of_a_Natural_Product-Based_5_i_H_i_Thiazolo_5_4_5_6_pyrido_2_3_i_b_i_indole_Derivative_via_Solid-Phase_Synthesis/28450076</v>
      </c>
      <c r="Y49" s="1" t="str">
        <f t="shared" si="13"/>
        <v>--localSource c:/temp/acs2/data --targetDir c:/temp/acs2/$DOI$ --noDownload --readOnly  --pubDOI https://doi.org/10.1021/acs.joc.4c03094 --dataDOI "10.1021/acs.joc.4c03094https://acs.figshare.com/articles/dataset/Synthesis_of_a_Natural_Product-Based_5_i_H_i_Thiazolo_5_4_5_6_pyrido_2_3_i_b_i_indole_Derivative_via_Solid-Phase_Synthesis/28450076"</v>
      </c>
      <c r="Z49" t="str">
        <f t="shared" si="10"/>
        <v>&lt;br&gt;&lt;a href="https://doi.org/10.1021/acs.joc.4c03094.s002"&gt;https://doi.org/10.1021/acs.joc.4c03094.s002&lt;/a&gt;</v>
      </c>
      <c r="AA49" t="str">
        <f t="shared" si="11"/>
        <v>ol5c01514_si_002.zip</v>
      </c>
      <c r="AB49" t="s">
        <v>1119</v>
      </c>
    </row>
    <row r="50" spans="1:28" x14ac:dyDescent="0.35">
      <c r="A50">
        <v>49</v>
      </c>
      <c r="B50" s="5" t="str">
        <f t="shared" si="0"/>
        <v>jo4c03118</v>
      </c>
      <c r="C50" s="1" t="str">
        <f t="shared" si="1"/>
        <v>jo4c03118</v>
      </c>
      <c r="D50">
        <f>IF(F50=1,"",IF(AND(D49="",S49=S50),"",S50-SUM(F$2:F49)))</f>
        <v>31</v>
      </c>
      <c r="E50" t="str">
        <f t="shared" si="2"/>
        <v>0</v>
      </c>
      <c r="F50">
        <v>0</v>
      </c>
      <c r="H50">
        <v>52</v>
      </c>
      <c r="I50">
        <v>104</v>
      </c>
      <c r="M50" t="str">
        <f t="shared" si="3"/>
        <v>/*31 jo4c03118 */"https://doi.org/10.1021/acs.joc.4c03118.s001",//Atmosphere Effects on Arene Reduction with Lithium and Ethylenediamine in THF</v>
      </c>
      <c r="N50" t="e">
        <f t="shared" si="4"/>
        <v>#N/A</v>
      </c>
      <c r="O50" t="b">
        <f t="shared" si="5"/>
        <v>0</v>
      </c>
      <c r="P50" s="13" t="s">
        <v>865</v>
      </c>
      <c r="Q50" s="13" t="s">
        <v>866</v>
      </c>
      <c r="R50" t="str">
        <f t="shared" si="6"/>
        <v>001</v>
      </c>
      <c r="S50">
        <f t="shared" si="12"/>
        <v>34</v>
      </c>
      <c r="T50" s="13" t="str">
        <f>VLOOKUP(Q50,original!B:C,2,FALSE)</f>
        <v>Atmosphere Effects on Arene Reduction with Lithium and Ethylenediamine in THF</v>
      </c>
      <c r="U50" s="13" t="s">
        <v>868</v>
      </c>
      <c r="V50" t="str">
        <f t="shared" si="7"/>
        <v>jo4c03118</v>
      </c>
      <c r="W50" t="str">
        <f t="shared" si="8"/>
        <v>jo4c03118_si_001.zip</v>
      </c>
      <c r="X50" t="str">
        <f t="shared" si="9"/>
        <v>https://acs.figshare.com/articles/dataset/Atmosphere_Effects_on_Arene_Reduction_with_Lithium_and_Ethylenediamine_in_THF/28524692</v>
      </c>
      <c r="Y50" s="1" t="str">
        <f t="shared" si="13"/>
        <v>--localSource c:/temp/acs2/data --targetDir c:/temp/acs2/$DOI$ --noDownload --readOnly  --pubDOI https://doi.org/10.1021/acs.joc.4c03118 --dataDOI "10.1021/acs.joc.4c03118https://acs.figshare.com/articles/dataset/Atmosphere_Effects_on_Arene_Reduction_with_Lithium_and_Ethylenediamine_in_THF/28524692"</v>
      </c>
      <c r="Z50" t="str">
        <f t="shared" si="10"/>
        <v>&lt;br&gt;&lt;a href="https://doi.org/10.1021/acs.joc.4c03118.s001"&gt;https://doi.org/10.1021/acs.joc.4c03118.s001&lt;/a&gt;</v>
      </c>
      <c r="AA50" t="str">
        <f t="shared" si="11"/>
        <v>jo5c01606_si_002.zip</v>
      </c>
      <c r="AB50" t="s">
        <v>1085</v>
      </c>
    </row>
    <row r="51" spans="1:28" x14ac:dyDescent="0.35">
      <c r="A51">
        <v>50</v>
      </c>
      <c r="B51" s="5" t="str">
        <f t="shared" si="0"/>
        <v>jo4c03140</v>
      </c>
      <c r="C51" s="1" t="str">
        <f t="shared" si="1"/>
        <v>jo4c03140</v>
      </c>
      <c r="D51">
        <f>IF(F51=1,"",IF(AND(D50="",S50=S51),"",S51-SUM(F$2:F50)))</f>
        <v>32</v>
      </c>
      <c r="E51" t="str">
        <f t="shared" si="2"/>
        <v>0</v>
      </c>
      <c r="F51">
        <v>0</v>
      </c>
      <c r="H51">
        <v>0</v>
      </c>
      <c r="I51">
        <v>0</v>
      </c>
      <c r="M51" t="str">
        <f t="shared" si="3"/>
        <v>/*32 jo4c03140 */"https://doi.org/10.1021/acs.joc.4c03140.s002",//Asymmetric Total Synthesis of Gymnothespirolignan A via a Bioinspired Double Cyclization Approach</v>
      </c>
      <c r="N51" t="e">
        <f t="shared" si="4"/>
        <v>#N/A</v>
      </c>
      <c r="O51" t="b">
        <f t="shared" si="5"/>
        <v>0</v>
      </c>
      <c r="P51" s="13" t="s">
        <v>869</v>
      </c>
      <c r="Q51" s="13" t="s">
        <v>870</v>
      </c>
      <c r="R51" t="str">
        <f t="shared" si="6"/>
        <v>002</v>
      </c>
      <c r="S51">
        <f t="shared" si="12"/>
        <v>35</v>
      </c>
      <c r="T51" s="13" t="str">
        <f>VLOOKUP(Q51,original!B:C,2,FALSE)</f>
        <v>Asymmetric Total Synthesis of Gymnothespirolignan A via a Bioinspired Double Cyclization Approach</v>
      </c>
      <c r="U51" s="13" t="s">
        <v>872</v>
      </c>
      <c r="V51" t="str">
        <f t="shared" si="7"/>
        <v>jo4c03140</v>
      </c>
      <c r="W51" t="str">
        <f t="shared" si="8"/>
        <v>jo4c03140_si_002.zip</v>
      </c>
      <c r="X51" t="str">
        <f t="shared" si="9"/>
        <v>https://acs.figshare.com/articles/dataset/Asymmetric_Total_Synthesis_of_Gymnothespirolignan_A_via_a_Bioinspired_Double_Cyclization_Approach/28522401</v>
      </c>
      <c r="Y51" s="1" t="str">
        <f t="shared" si="13"/>
        <v>--localSource c:/temp/acs2/data --targetDir c:/temp/acs2/$DOI$ --noDownload --readOnly  --pubDOI https://doi.org/10.1021/acs.joc.4c03140 --dataDOI "10.1021/acs.joc.4c03140https://acs.figshare.com/articles/dataset/Asymmetric_Total_Synthesis_of_Gymnothespirolignan_A_via_a_Bioinspired_Double_Cyclization_Approach/28522401"</v>
      </c>
      <c r="Z51" t="str">
        <f t="shared" si="10"/>
        <v>&lt;br&gt;&lt;a href="https://doi.org/10.1021/acs.joc.4c03140.s002"&gt;https://doi.org/10.1021/acs.joc.4c03140.s002&lt;/a&gt;</v>
      </c>
      <c r="AA51" t="str">
        <f t="shared" si="11"/>
        <v>jo5c01560_si_009.zip</v>
      </c>
      <c r="AB51" t="s">
        <v>1080</v>
      </c>
    </row>
    <row r="52" spans="1:28" x14ac:dyDescent="0.35">
      <c r="A52">
        <v>51</v>
      </c>
      <c r="B52" s="5" t="str">
        <f t="shared" si="0"/>
        <v>jo4c03150</v>
      </c>
      <c r="C52" s="1" t="str">
        <f t="shared" si="1"/>
        <v/>
      </c>
      <c r="D52">
        <f>IF(F52=1,"",IF(AND(D51="",S51=S52),"",S52-SUM(F$2:F51)))</f>
        <v>33</v>
      </c>
      <c r="E52" t="str">
        <f t="shared" si="2"/>
        <v>0</v>
      </c>
      <c r="F52">
        <v>0</v>
      </c>
      <c r="M52" t="str">
        <f t="shared" si="3"/>
        <v>/*33 jo4c03150 */"https://doi.org/10.1021/acs.joc.4c03150.s004",//A Twist on Controlling the Equilibrium of Dynamic Thia-Michael Reactions</v>
      </c>
      <c r="N52" t="e">
        <f t="shared" si="4"/>
        <v>#N/A</v>
      </c>
      <c r="O52" t="b">
        <f t="shared" si="5"/>
        <v>0</v>
      </c>
      <c r="P52" s="13" t="s">
        <v>843</v>
      </c>
      <c r="Q52" s="13" t="s">
        <v>844</v>
      </c>
      <c r="R52" t="str">
        <f t="shared" si="6"/>
        <v>004</v>
      </c>
      <c r="S52">
        <f t="shared" si="12"/>
        <v>36</v>
      </c>
      <c r="T52" s="13" t="str">
        <f>VLOOKUP(Q52,original!B:C,2,FALSE)</f>
        <v>A Twist on Controlling the Equilibrium of Dynamic Thia-Michael Reactions</v>
      </c>
      <c r="U52" s="13" t="s">
        <v>842</v>
      </c>
      <c r="V52" t="str">
        <f t="shared" si="7"/>
        <v>jo4c03150</v>
      </c>
      <c r="W52" t="str">
        <f t="shared" si="8"/>
        <v>jo4c03150_si_004.zip</v>
      </c>
      <c r="X52" t="str">
        <f t="shared" si="9"/>
        <v>https://acs.figshare.com/articles/dataset/A_Twist_on_Controlling_the_Equilibrium_of_Dynamic_Thia-Michael_Reactions/28555603</v>
      </c>
      <c r="Y52" s="1" t="str">
        <f t="shared" si="13"/>
        <v/>
      </c>
      <c r="Z52" t="str">
        <f t="shared" si="10"/>
        <v>&lt;br&gt;&lt;a href="https://doi.org/10.1021/acs.joc.4c03150.s004"&gt;https://doi.org/10.1021/acs.joc.4c03150.s004&lt;/a&gt;</v>
      </c>
      <c r="AA52" t="str">
        <f t="shared" si="11"/>
        <v>jo5c01560_si_006.zip</v>
      </c>
      <c r="AB52" t="s">
        <v>1077</v>
      </c>
    </row>
    <row r="53" spans="1:28" x14ac:dyDescent="0.35">
      <c r="A53">
        <v>52</v>
      </c>
      <c r="B53" s="5" t="str">
        <f t="shared" si="0"/>
        <v>jo4c03150</v>
      </c>
      <c r="C53" s="1" t="str">
        <f t="shared" si="1"/>
        <v>jo4c03150</v>
      </c>
      <c r="D53">
        <f>IF(F53=1,"",IF(AND(D52="",S52=S53),"",S53-SUM(F$2:F52)))</f>
        <v>33</v>
      </c>
      <c r="E53" t="str">
        <f t="shared" si="2"/>
        <v>1</v>
      </c>
      <c r="F53">
        <v>0</v>
      </c>
      <c r="H53">
        <v>34</v>
      </c>
      <c r="I53">
        <v>50</v>
      </c>
      <c r="M53" t="str">
        <f t="shared" si="3"/>
        <v>/*33 jo4c03150 */"https://doi.org/10.1021/acs.joc.4c03150.s005",//A Twist on Controlling the Equilibrium of Dynamic Thia-Michael Reactions</v>
      </c>
      <c r="N53" t="e">
        <f t="shared" si="4"/>
        <v>#N/A</v>
      </c>
      <c r="O53" t="b">
        <f t="shared" si="5"/>
        <v>0</v>
      </c>
      <c r="P53" s="13" t="s">
        <v>839</v>
      </c>
      <c r="Q53" s="13" t="s">
        <v>840</v>
      </c>
      <c r="R53" t="str">
        <f t="shared" si="6"/>
        <v>005</v>
      </c>
      <c r="S53">
        <f t="shared" si="12"/>
        <v>36</v>
      </c>
      <c r="T53" s="13" t="str">
        <f>VLOOKUP(Q53,original!B:C,2,FALSE)</f>
        <v>A Twist on Controlling the Equilibrium of Dynamic Thia-Michael Reactions</v>
      </c>
      <c r="U53" s="13" t="s">
        <v>842</v>
      </c>
      <c r="V53" t="str">
        <f t="shared" si="7"/>
        <v>jo4c03150</v>
      </c>
      <c r="W53" t="str">
        <f t="shared" si="8"/>
        <v>jo4c03150_si_005.zip</v>
      </c>
      <c r="X53" t="str">
        <f t="shared" si="9"/>
        <v>https://acs.figshare.com/articles/dataset/A_Twist_on_Controlling_the_Equilibrium_of_Dynamic_Thia-Michael_Reactions/28555603\thttps://acs.figshare.com/articles/dataset/A_Twist_on_Controlling_the_Equilibrium_of_Dynamic_Thia-Michael_Reactions/28555606</v>
      </c>
      <c r="Y53" s="1" t="str">
        <f t="shared" si="13"/>
        <v>--localSource c:/temp/acs2/data --targetDir c:/temp/acs2/$DOI$ --noDownload --readOnly  --pubDOI https://doi.org/10.1021/acs.joc.4c03150 --dataDOI "10.1021/acs.joc.4c03150https://acs.figshare.com/articles/dataset/A_Twist_on_Controlling_the_Equilibrium_of_Dynamic_Thia-Michael_Reactions/28555603\thttps://acs.figshare.com/articles/dataset/A_Twist_on_Controlling_the_Equilibrium_of_Dynamic_Thia-Michael_Reactions/28555606"</v>
      </c>
      <c r="Z53" t="str">
        <f t="shared" si="10"/>
        <v>&lt;br&gt;&lt;a href="https://doi.org/10.1021/acs.joc.4c03150.s005"&gt;https://doi.org/10.1021/acs.joc.4c03150.s005&lt;/a&gt;</v>
      </c>
      <c r="AA53" t="str">
        <f t="shared" si="11"/>
        <v>jo5c00805_si_002.zip</v>
      </c>
      <c r="AB53" t="s">
        <v>1069</v>
      </c>
    </row>
    <row r="54" spans="1:28" x14ac:dyDescent="0.35">
      <c r="A54">
        <v>53</v>
      </c>
      <c r="B54" s="5" t="str">
        <f t="shared" si="0"/>
        <v>jo4c03151</v>
      </c>
      <c r="C54" s="1" t="str">
        <f t="shared" si="1"/>
        <v>jo4c03151</v>
      </c>
      <c r="D54">
        <f>IF(F54=1,"",IF(AND(D53="",S53=S54),"",S54-SUM(F$2:F53)))</f>
        <v>34</v>
      </c>
      <c r="E54" t="str">
        <f t="shared" si="2"/>
        <v>0</v>
      </c>
      <c r="F54">
        <v>0</v>
      </c>
      <c r="H54">
        <v>66</v>
      </c>
      <c r="I54">
        <v>128</v>
      </c>
      <c r="M54" t="str">
        <f t="shared" si="3"/>
        <v>/*34 jo4c03151 */"https://doi.org/10.1021/acs.joc.4c03151.s002",//Minisci C–H Alkylation of Heterocycles with Unactivated Alkyl Iodides Enabled by Visible Light Photocatalysis</v>
      </c>
      <c r="N54" t="e">
        <f t="shared" si="4"/>
        <v>#N/A</v>
      </c>
      <c r="O54" t="b">
        <f t="shared" si="5"/>
        <v>0</v>
      </c>
      <c r="P54" s="13" t="s">
        <v>879</v>
      </c>
      <c r="Q54" s="13" t="s">
        <v>880</v>
      </c>
      <c r="R54" t="str">
        <f t="shared" si="6"/>
        <v>002</v>
      </c>
      <c r="S54">
        <f t="shared" si="12"/>
        <v>37</v>
      </c>
      <c r="T54" s="13" t="str">
        <f>VLOOKUP(Q54,original!B:C,2,FALSE)</f>
        <v>Minisci C–H Alkylation of Heterocycles with Unactivated Alkyl Iodides Enabled by Visible Light Photocatalysis</v>
      </c>
      <c r="U54" s="13" t="s">
        <v>881</v>
      </c>
      <c r="V54" t="str">
        <f t="shared" si="7"/>
        <v>jo4c03151</v>
      </c>
      <c r="W54" t="str">
        <f t="shared" si="8"/>
        <v>jo4c03151_si_002.zip</v>
      </c>
      <c r="X54" t="str">
        <f t="shared" si="9"/>
        <v>https://acs.figshare.com/articles/dataset/Minisci_C_H_Alkylation_of_Heterocycles_with_Unactivated_Alkyl_Iodides_Enabled_by_Visible_Light_Photocatalysis/28505255</v>
      </c>
      <c r="Y54" s="1" t="str">
        <f t="shared" si="13"/>
        <v>--localSource c:/temp/acs2/data --targetDir c:/temp/acs2/$DOI$ --noDownload --readOnly  --pubDOI https://doi.org/10.1021/acs.joc.4c03151 --dataDOI "10.1021/acs.joc.4c03151https://acs.figshare.com/articles/dataset/Minisci_C_H_Alkylation_of_Heterocycles_with_Unactivated_Alkyl_Iodides_Enabled_by_Visible_Light_Photocatalysis/28505255"</v>
      </c>
      <c r="Z54" t="str">
        <f t="shared" si="10"/>
        <v>&lt;br&gt;&lt;a href="https://doi.org/10.1021/acs.joc.4c03151.s002"&gt;https://doi.org/10.1021/acs.joc.4c03151.s002&lt;/a&gt;</v>
      </c>
      <c r="AA54" t="str">
        <f t="shared" si="11"/>
        <v>ol5c04431_si_002.zip</v>
      </c>
      <c r="AB54" t="s">
        <v>1120</v>
      </c>
    </row>
    <row r="55" spans="1:28" x14ac:dyDescent="0.35">
      <c r="A55">
        <v>54</v>
      </c>
      <c r="B55" s="5" t="str">
        <f t="shared" si="0"/>
        <v>jo4c03180</v>
      </c>
      <c r="C55" s="1" t="str">
        <f t="shared" si="1"/>
        <v>jo4c03180</v>
      </c>
      <c r="D55">
        <f>IF(F55=1,"",IF(AND(D54="",S54=S55),"",S55-SUM(F$2:F54)))</f>
        <v>35</v>
      </c>
      <c r="E55" t="str">
        <f t="shared" si="2"/>
        <v>0</v>
      </c>
      <c r="F55">
        <v>0</v>
      </c>
      <c r="H55">
        <v>0</v>
      </c>
      <c r="I55">
        <v>0</v>
      </c>
      <c r="M55" t="str">
        <f t="shared" si="3"/>
        <v>/*35 jo4c03180 */"https://doi.org/10.1021/acs.joc.4c03180.s002",//PhICl2/KSeCN Mediated Synthesis of Selenopheno[3,2‑b]indoles and 3‑Selenocyanato-2-benzoselenophene Indoles from 1,3-Diynes via Double Electrophilic Cyclization</v>
      </c>
      <c r="N55" t="e">
        <f t="shared" si="4"/>
        <v>#N/A</v>
      </c>
      <c r="O55" t="b">
        <f t="shared" si="5"/>
        <v>0</v>
      </c>
      <c r="P55" s="13" t="s">
        <v>717</v>
      </c>
      <c r="Q55" s="13" t="s">
        <v>718</v>
      </c>
      <c r="R55" t="str">
        <f t="shared" si="6"/>
        <v>002</v>
      </c>
      <c r="S55">
        <f t="shared" si="12"/>
        <v>38</v>
      </c>
      <c r="T55" s="13" t="str">
        <f>VLOOKUP(Q55,original!B:C,2,FALSE)</f>
        <v>PhICl2/KSeCN Mediated Synthesis of Selenopheno[3,2‑b]indoles and 3‑Selenocyanato-2-benzoselenophene Indoles from 1,3-Diynes via Double Electrophilic Cyclization</v>
      </c>
      <c r="U55" s="13" t="s">
        <v>719</v>
      </c>
      <c r="V55" t="str">
        <f t="shared" si="7"/>
        <v>jo4c03180</v>
      </c>
      <c r="W55" t="str">
        <f t="shared" si="8"/>
        <v>jo4c03180_si_002.zip</v>
      </c>
      <c r="X55" t="str">
        <f t="shared" si="9"/>
        <v>https://acs.figshare.com/articles/dataset/PhICl_sub_2_sub_KSeCN_Mediated_Synthesis_of_Selenopheno_3_2_i_b_i_indoles_and_3_Selenocyanato-2-benzoselenophene_Indoles_from_1_3-Diynes_via_Double_Electrophilic_Cyclization/28852227</v>
      </c>
      <c r="Y55" s="1" t="str">
        <f t="shared" si="13"/>
        <v>--localSource c:/temp/acs2/data --targetDir c:/temp/acs2/$DOI$ --noDownload --readOnly  --pubDOI https://doi.org/10.1021/acs.joc.4c03180 --dataDOI "10.1021/acs.joc.4c03180https://acs.figshare.com/articles/dataset/PhICl_sub_2_sub_KSeCN_Mediated_Synthesis_of_Selenopheno_3_2_i_b_i_indoles_and_3_Selenocyanato-2-benzoselenophene_Indoles_from_1_3-Diynes_via_Double_Electrophilic_Cyclization/28852227"</v>
      </c>
      <c r="Z55" t="str">
        <f t="shared" si="10"/>
        <v>&lt;br&gt;&lt;a href="https://doi.org/10.1021/acs.joc.4c03180.s002"&gt;https://doi.org/10.1021/acs.joc.4c03180.s002&lt;/a&gt;</v>
      </c>
      <c r="AA55" t="str">
        <f t="shared" si="11"/>
        <v>jo5c02410_si_002.zip</v>
      </c>
      <c r="AB55" t="s">
        <v>1089</v>
      </c>
    </row>
    <row r="56" spans="1:28" x14ac:dyDescent="0.35">
      <c r="A56">
        <v>55</v>
      </c>
      <c r="B56" s="5" t="str">
        <f t="shared" si="0"/>
        <v>jo4c03181</v>
      </c>
      <c r="C56" s="1" t="str">
        <f t="shared" si="1"/>
        <v>jo4c03181</v>
      </c>
      <c r="D56">
        <f>IF(F56=1,"",IF(AND(D55="",S55=S56),"",S56-SUM(F$2:F55)))</f>
        <v>36</v>
      </c>
      <c r="E56" t="str">
        <f t="shared" si="2"/>
        <v>0</v>
      </c>
      <c r="F56">
        <v>0</v>
      </c>
      <c r="H56">
        <v>52</v>
      </c>
      <c r="I56">
        <v>151</v>
      </c>
      <c r="M56" t="str">
        <f t="shared" si="3"/>
        <v>/*36 jo4c03181 */"https://doi.org/10.1021/acs.joc.4c03181.s002",//(3+2) Annulation of Donor–Acceptor Cyclopropanes with Difluoroenoxysilanes: Syntheses of gem-Difluorocyclopentenes via α,α-Difluoroketone Scaffolds</v>
      </c>
      <c r="N56" t="e">
        <f t="shared" si="4"/>
        <v>#N/A</v>
      </c>
      <c r="O56" t="b">
        <f t="shared" si="5"/>
        <v>0</v>
      </c>
      <c r="P56" s="13" t="s">
        <v>770</v>
      </c>
      <c r="Q56" s="13" t="s">
        <v>771</v>
      </c>
      <c r="R56" t="str">
        <f t="shared" si="6"/>
        <v>002</v>
      </c>
      <c r="S56">
        <f t="shared" si="12"/>
        <v>39</v>
      </c>
      <c r="T56" s="13" t="str">
        <f>VLOOKUP(Q56,original!B:C,2,FALSE)</f>
        <v>(3+2) Annulation of Donor–Acceptor Cyclopropanes with Difluoroenoxysilanes: Syntheses of gem-Difluorocyclopentenes via α,α-Difluoroketone Scaffolds</v>
      </c>
      <c r="U56" s="13" t="s">
        <v>772</v>
      </c>
      <c r="V56" t="str">
        <f t="shared" si="7"/>
        <v>jo4c03181</v>
      </c>
      <c r="W56" t="str">
        <f t="shared" si="8"/>
        <v>jo4c03181_si_002.zip</v>
      </c>
      <c r="X56" t="str">
        <f t="shared" si="9"/>
        <v>https://acs.figshare.com/articles/dataset/_3_2_Annulation_of_Donor_Acceptor_Cyclopropanes_with_Difluoroenoxysilanes_Syntheses_of_i_gem_i_-Difluorocyclopentenes_via_-Difluoroketone_Scaffolds/28675390</v>
      </c>
      <c r="Y56" s="1" t="str">
        <f t="shared" si="13"/>
        <v>--localSource c:/temp/acs2/data --targetDir c:/temp/acs2/$DOI$ --noDownload --readOnly  --pubDOI https://doi.org/10.1021/acs.joc.4c03181 --dataDOI "10.1021/acs.joc.4c03181https://acs.figshare.com/articles/dataset/_3_2_Annulation_of_Donor_Acceptor_Cyclopropanes_with_Difluoroenoxysilanes_Syntheses_of_i_gem_i_-Difluorocyclopentenes_via_-Difluoroketone_Scaffolds/28675390"</v>
      </c>
      <c r="Z56" t="str">
        <f t="shared" si="10"/>
        <v>&lt;br&gt;&lt;a href="https://doi.org/10.1021/acs.joc.4c03181.s002"&gt;https://doi.org/10.1021/acs.joc.4c03181.s002&lt;/a&gt;</v>
      </c>
      <c r="AA56" t="str">
        <f t="shared" si="11"/>
        <v>jo5c02438_si_002..zip</v>
      </c>
      <c r="AB56" t="s">
        <v>1090</v>
      </c>
    </row>
    <row r="57" spans="1:28" x14ac:dyDescent="0.35">
      <c r="A57">
        <v>56</v>
      </c>
      <c r="B57" s="5" t="str">
        <f t="shared" si="0"/>
        <v>jo5c00007</v>
      </c>
      <c r="C57" s="1" t="str">
        <f t="shared" si="1"/>
        <v>jo5c00007</v>
      </c>
      <c r="D57">
        <f>IF(F57=1,"",IF(AND(D56="",S56=S57),"",S57-SUM(F$2:F56)))</f>
        <v>37</v>
      </c>
      <c r="E57" t="str">
        <f t="shared" si="2"/>
        <v>0</v>
      </c>
      <c r="F57">
        <v>0</v>
      </c>
      <c r="H57">
        <v>36</v>
      </c>
      <c r="I57">
        <v>76</v>
      </c>
      <c r="M57" t="str">
        <f t="shared" si="3"/>
        <v>/*37 jo5c00007 */"https://doi.org/10.1021/acs.joc.5c00007.s001",//C3-Heteroarylation of Indoles via Cu(II)-Catalyzed Aminocupration and Subsequent Nucleophilic Addition of o‑Alkynylanilines</v>
      </c>
      <c r="N57" t="e">
        <f t="shared" si="4"/>
        <v>#N/A</v>
      </c>
      <c r="O57" t="b">
        <f t="shared" si="5"/>
        <v>0</v>
      </c>
      <c r="P57" s="13" t="s">
        <v>900</v>
      </c>
      <c r="Q57" s="13" t="s">
        <v>901</v>
      </c>
      <c r="R57" t="str">
        <f t="shared" si="6"/>
        <v>001</v>
      </c>
      <c r="S57">
        <f t="shared" si="12"/>
        <v>40</v>
      </c>
      <c r="T57" s="13" t="str">
        <f>VLOOKUP(Q57,original!B:C,2,FALSE)</f>
        <v>C3-Heteroarylation of Indoles via Cu(II)-Catalyzed Aminocupration and Subsequent Nucleophilic Addition of o‑Alkynylanilines</v>
      </c>
      <c r="U57" s="13" t="s">
        <v>902</v>
      </c>
      <c r="V57" t="str">
        <f t="shared" si="7"/>
        <v>jo5c00007</v>
      </c>
      <c r="W57" t="str">
        <f t="shared" si="8"/>
        <v>jo5c00007_si_001.zip</v>
      </c>
      <c r="X57" t="str">
        <f t="shared" si="9"/>
        <v>https://acs.figshare.com/articles/dataset/C3-Heteroarylation_of_Indoles_via_Cu_II_-Catalyzed_Aminocupration_and_Subsequent_Nucleophilic_Addition_of_i_o_i_Alkynylanilines/28468142</v>
      </c>
      <c r="Y57" s="1" t="str">
        <f t="shared" si="13"/>
        <v>--localSource c:/temp/acs2/data --targetDir c:/temp/acs2/$DOI$ --noDownload --readOnly  --pubDOI https://doi.org/10.1021/acs.joc.5c00007 --dataDOI "10.1021/acs.joc.5c00007https://acs.figshare.com/articles/dataset/C3-Heteroarylation_of_Indoles_via_Cu_II_-Catalyzed_Aminocupration_and_Subsequent_Nucleophilic_Addition_of_i_o_i_Alkynylanilines/28468142"</v>
      </c>
      <c r="Z57" t="str">
        <f t="shared" si="10"/>
        <v>&lt;br&gt;&lt;a href="https://doi.org/10.1021/acs.joc.5c00007.s001"&gt;https://doi.org/10.1021/acs.joc.5c00007.s001&lt;/a&gt;</v>
      </c>
      <c r="AA57" t="str">
        <f t="shared" si="11"/>
        <v>jo5c02577_si_001.zip</v>
      </c>
      <c r="AB57" t="s">
        <v>1091</v>
      </c>
    </row>
    <row r="58" spans="1:28" x14ac:dyDescent="0.35">
      <c r="A58">
        <v>57</v>
      </c>
      <c r="B58" s="5" t="str">
        <f t="shared" si="0"/>
        <v>jo5c00061</v>
      </c>
      <c r="C58" s="1" t="str">
        <f t="shared" si="1"/>
        <v>jo5c00061</v>
      </c>
      <c r="D58">
        <f>IF(F58=1,"",IF(AND(D57="",S57=S58),"",S58-SUM(F$2:F57)))</f>
        <v>38</v>
      </c>
      <c r="E58" t="str">
        <f t="shared" si="2"/>
        <v>0</v>
      </c>
      <c r="F58">
        <v>0</v>
      </c>
      <c r="H58">
        <v>52</v>
      </c>
      <c r="I58">
        <v>144</v>
      </c>
      <c r="J58">
        <v>57</v>
      </c>
      <c r="M58" t="str">
        <f t="shared" si="3"/>
        <v>/*38 jo5c00061 */"https://doi.org/10.1021/acs.joc.5c00061.s002",//Dynamically Generated Carbenium Species via Photoisomerization of Cyclic Alkenes: Mild Friedel–Crafts Alkylation</v>
      </c>
      <c r="N58" t="e">
        <f t="shared" si="4"/>
        <v>#N/A</v>
      </c>
      <c r="O58" t="b">
        <f t="shared" si="5"/>
        <v>0</v>
      </c>
      <c r="P58" s="13" t="s">
        <v>852</v>
      </c>
      <c r="Q58" s="13" t="s">
        <v>853</v>
      </c>
      <c r="R58" t="str">
        <f t="shared" si="6"/>
        <v>002</v>
      </c>
      <c r="S58">
        <f t="shared" si="12"/>
        <v>41</v>
      </c>
      <c r="T58" s="13" t="str">
        <f>VLOOKUP(Q58,original!B:C,2,FALSE)</f>
        <v>Dynamically Generated Carbenium Species via Photoisomerization of Cyclic Alkenes: Mild Friedel–Crafts Alkylation</v>
      </c>
      <c r="U58" s="13" t="s">
        <v>854</v>
      </c>
      <c r="V58" t="str">
        <f t="shared" si="7"/>
        <v>jo5c00061</v>
      </c>
      <c r="W58" t="str">
        <f t="shared" si="8"/>
        <v>jo5c00061_si_002.zip</v>
      </c>
      <c r="X58" t="str">
        <f t="shared" si="9"/>
        <v>https://acs.figshare.com/articles/dataset/Dynamically_Generated_Carbenium_Species_via_Photoisomerization_of_Cyclic_Alkenes_Mild_Friedel_Crafts_Alkylation/28540608</v>
      </c>
      <c r="Y58" s="1" t="str">
        <f t="shared" si="13"/>
        <v>--localSource c:/temp/acs2/data --targetDir c:/temp/acs2/$DOI$ --noDownload --readOnly  --pubDOI https://doi.org/10.1021/acs.joc.5c00061 --dataDOI "10.1021/acs.joc.5c00061https://acs.figshare.com/articles/dataset/Dynamically_Generated_Carbenium_Species_via_Photoisomerization_of_Cyclic_Alkenes_Mild_Friedel_Crafts_Alkylation/28540608"</v>
      </c>
      <c r="Z58" t="str">
        <f t="shared" si="10"/>
        <v>&lt;br&gt;&lt;a href="https://doi.org/10.1021/acs.joc.5c00061.s002"&gt;https://doi.org/10.1021/acs.joc.5c00061.s002&lt;/a&gt;</v>
      </c>
      <c r="AA58" t="str">
        <f t="shared" si="11"/>
        <v>jo5c02577_si_002.zip</v>
      </c>
      <c r="AB58" t="s">
        <v>1092</v>
      </c>
    </row>
    <row r="59" spans="1:28" x14ac:dyDescent="0.35">
      <c r="A59">
        <v>58</v>
      </c>
      <c r="B59" s="5" t="str">
        <f t="shared" si="0"/>
        <v>jo5c00092</v>
      </c>
      <c r="C59" s="1" t="str">
        <f t="shared" si="1"/>
        <v>#jo5c00092 CALCULATION ONLY XYZ</v>
      </c>
      <c r="D59" t="str">
        <f>IF(F59=1,"",IF(AND(D58="",S58=S59),"",S59-SUM(F$2:F58)))</f>
        <v/>
      </c>
      <c r="E59" t="str">
        <f t="shared" si="2"/>
        <v>0</v>
      </c>
      <c r="F59">
        <v>1</v>
      </c>
      <c r="G59" t="s">
        <v>1053</v>
      </c>
      <c r="M59" t="str">
        <f t="shared" si="3"/>
        <v/>
      </c>
      <c r="N59" t="e">
        <f t="shared" si="4"/>
        <v>#N/A</v>
      </c>
      <c r="O59" t="b">
        <f t="shared" si="5"/>
        <v>0</v>
      </c>
      <c r="P59" s="13" t="s">
        <v>750</v>
      </c>
      <c r="Q59" s="13" t="s">
        <v>751</v>
      </c>
      <c r="R59" t="str">
        <f t="shared" si="6"/>
        <v>002</v>
      </c>
      <c r="S59">
        <f t="shared" si="12"/>
        <v>42</v>
      </c>
      <c r="T59" s="13" t="str">
        <f>VLOOKUP(Q59,original!B:C,2,FALSE)</f>
        <v>Hydrogen Atom Transfer-Based C(sp3)–H Bond Oxygenation of Lactams and Cycloalkenes: The Influence of Ring Size on Reactivity and Site Selectivity</v>
      </c>
      <c r="U59" s="13" t="s">
        <v>752</v>
      </c>
      <c r="V59" t="str">
        <f t="shared" si="7"/>
        <v>jo5c00092</v>
      </c>
      <c r="W59" t="str">
        <f t="shared" si="8"/>
        <v>jo5c00092_si_002.zip</v>
      </c>
      <c r="X59" t="str">
        <f t="shared" si="9"/>
        <v>https://acs.figshare.com/articles/dataset/Hydrogen_Atom_Transfer-Based_C_sp_sup_3_sup_H_Bond_Oxygenation_of_Lactams_and_Cycloalkenes_The_Influence_of_Ring_Size_on_Reactivity_and_Site_Selectivity/28742151</v>
      </c>
      <c r="Y59" s="1" t="str">
        <f t="shared" si="13"/>
        <v>--localSource c:/temp/acs2/data --targetDir c:/temp/acs2/$DOI$ --noDownload --readOnly  --pubDOI https://doi.org/10.1021/acs.joc.5c00092 --dataDOI "10.1021/acs.joc.5c00092https://acs.figshare.com/articles/dataset/Hydrogen_Atom_Transfer-Based_C_sp_sup_3_sup_H_Bond_Oxygenation_of_Lactams_and_Cycloalkenes_The_Influence_of_Ring_Size_on_Reactivity_and_Site_Selectivity/28742151"</v>
      </c>
      <c r="Z59" t="str">
        <f t="shared" si="10"/>
        <v>&lt;br&gt;&lt;a href="https://doi.org/10.1021/acs.joc.5c00092.s002"&gt;https://doi.org/10.1021/acs.joc.5c00092.s002&lt;/a&gt;</v>
      </c>
      <c r="AA59" t="str">
        <f t="shared" si="11"/>
        <v>jo5c02577_si_003.zip</v>
      </c>
      <c r="AB59" t="s">
        <v>1093</v>
      </c>
    </row>
    <row r="60" spans="1:28" x14ac:dyDescent="0.35">
      <c r="A60">
        <v>59</v>
      </c>
      <c r="B60" s="5" t="str">
        <f t="shared" si="0"/>
        <v>jo5c00117</v>
      </c>
      <c r="C60" s="1" t="str">
        <f t="shared" si="1"/>
        <v>jo5c00117</v>
      </c>
      <c r="D60">
        <f>IF(F60=1,"",IF(AND(D59="",S59=S60),"",S60-SUM(F$2:F59)))</f>
        <v>39</v>
      </c>
      <c r="E60" t="str">
        <f t="shared" si="2"/>
        <v>0</v>
      </c>
      <c r="F60">
        <v>0</v>
      </c>
      <c r="H60">
        <v>61</v>
      </c>
      <c r="I60">
        <v>61</v>
      </c>
      <c r="J60">
        <v>26</v>
      </c>
      <c r="M60" t="str">
        <f t="shared" si="3"/>
        <v>/*39 jo5c00117 */"https://doi.org/10.1021/acs.joc.5c00117.s002",//Sodium Poly(heptazine imide)-Enabled Oxytrifluoromethylation of Alkenes for the Synthesis of α‑CF3 Ketones</v>
      </c>
      <c r="N60" t="e">
        <f t="shared" si="4"/>
        <v>#N/A</v>
      </c>
      <c r="O60" t="b">
        <f t="shared" si="5"/>
        <v>0</v>
      </c>
      <c r="P60" s="13" t="s">
        <v>757</v>
      </c>
      <c r="Q60" s="13" t="s">
        <v>758</v>
      </c>
      <c r="R60" t="str">
        <f t="shared" si="6"/>
        <v>002</v>
      </c>
      <c r="S60">
        <f t="shared" si="12"/>
        <v>43</v>
      </c>
      <c r="T60" s="13" t="str">
        <f>VLOOKUP(Q60,original!B:C,2,FALSE)</f>
        <v>Sodium Poly(heptazine imide)-Enabled Oxytrifluoromethylation of Alkenes for the Synthesis of α‑CF3 Ketones</v>
      </c>
      <c r="U60" s="13" t="s">
        <v>759</v>
      </c>
      <c r="V60" t="str">
        <f t="shared" si="7"/>
        <v>jo5c00117</v>
      </c>
      <c r="W60" t="str">
        <f t="shared" si="8"/>
        <v>jo5c00117_si_002.zip</v>
      </c>
      <c r="X60" t="str">
        <f t="shared" si="9"/>
        <v>https://acs.figshare.com/articles/dataset/Sodium_Poly_heptazine_imide_-Enabled_Oxytrifluoromethylation_of_Alkenes_for_the_Synthesis_of_CF_sub_3_sub_Ketones/28690645</v>
      </c>
      <c r="Y60" s="1" t="str">
        <f t="shared" si="13"/>
        <v>--localSource c:/temp/acs2/data --targetDir c:/temp/acs2/$DOI$ --noDownload --readOnly  --pubDOI https://doi.org/10.1021/acs.joc.5c00117 --dataDOI "10.1021/acs.joc.5c00117https://acs.figshare.com/articles/dataset/Sodium_Poly_heptazine_imide_-Enabled_Oxytrifluoromethylation_of_Alkenes_for_the_Synthesis_of_CF_sub_3_sub_Ketones/28690645"</v>
      </c>
      <c r="Z60" t="str">
        <f t="shared" si="10"/>
        <v>&lt;br&gt;&lt;a href="https://doi.org/10.1021/acs.joc.5c00117.s002"&gt;https://doi.org/10.1021/acs.joc.5c00117.s002&lt;/a&gt;</v>
      </c>
      <c r="AA60" t="str">
        <f t="shared" si="11"/>
        <v>jo5c02700_si_002.zip</v>
      </c>
      <c r="AB60" t="s">
        <v>1094</v>
      </c>
    </row>
    <row r="61" spans="1:28" x14ac:dyDescent="0.35">
      <c r="A61">
        <v>60</v>
      </c>
      <c r="B61" s="5" t="str">
        <f t="shared" si="0"/>
        <v>jo5c00149</v>
      </c>
      <c r="C61" s="1" t="str">
        <f t="shared" si="1"/>
        <v>jo5c00149</v>
      </c>
      <c r="D61">
        <f>IF(F61=1,"",IF(AND(D60="",S60=S61),"",S61-SUM(F$2:F60)))</f>
        <v>40</v>
      </c>
      <c r="E61" t="str">
        <f t="shared" si="2"/>
        <v>0</v>
      </c>
      <c r="F61">
        <v>0</v>
      </c>
      <c r="H61">
        <v>38</v>
      </c>
      <c r="I61">
        <v>77</v>
      </c>
      <c r="M61" t="str">
        <f t="shared" si="3"/>
        <v>/*40 jo5c00149 */"https://doi.org/10.1021/acs.joc.5c00149.s002",//Photoinduced Cascade Synthesis of Oxindoles and Isoquinolinediones</v>
      </c>
      <c r="N61" t="e">
        <f t="shared" si="4"/>
        <v>#N/A</v>
      </c>
      <c r="O61" t="b">
        <f t="shared" si="5"/>
        <v>0</v>
      </c>
      <c r="P61" s="13" t="s">
        <v>815</v>
      </c>
      <c r="Q61" s="13" t="s">
        <v>816</v>
      </c>
      <c r="R61" t="str">
        <f t="shared" si="6"/>
        <v>002</v>
      </c>
      <c r="S61">
        <f t="shared" si="12"/>
        <v>44</v>
      </c>
      <c r="T61" s="13" t="str">
        <f>VLOOKUP(Q61,original!B:C,2,FALSE)</f>
        <v>Photoinduced Cascade Synthesis of Oxindoles and Isoquinolinediones</v>
      </c>
      <c r="U61" s="13" t="s">
        <v>818</v>
      </c>
      <c r="V61" t="str">
        <f t="shared" si="7"/>
        <v>jo5c00149</v>
      </c>
      <c r="W61" t="str">
        <f t="shared" si="8"/>
        <v>jo5c00149_si_002.zip</v>
      </c>
      <c r="X61" t="str">
        <f t="shared" si="9"/>
        <v>https://acs.figshare.com/articles/dataset/Photoinduced_Cascade_Synthesis_of_Oxindoles_and_Isoquinolinediones/28629181</v>
      </c>
      <c r="Y61" s="1" t="str">
        <f t="shared" si="13"/>
        <v>--localSource c:/temp/acs2/data --targetDir c:/temp/acs2/$DOI$ --noDownload --readOnly  --pubDOI https://doi.org/10.1021/acs.joc.5c00149 --dataDOI "10.1021/acs.joc.5c00149https://acs.figshare.com/articles/dataset/Photoinduced_Cascade_Synthesis_of_Oxindoles_and_Isoquinolinediones/28629181"</v>
      </c>
      <c r="Z61" t="str">
        <f t="shared" si="10"/>
        <v>&lt;br&gt;&lt;a href="https://doi.org/10.1021/acs.joc.5c00149.s002"&gt;https://doi.org/10.1021/acs.joc.5c00149.s002&lt;/a&gt;</v>
      </c>
      <c r="AA61" t="str">
        <f t="shared" si="11"/>
        <v/>
      </c>
    </row>
    <row r="62" spans="1:28" x14ac:dyDescent="0.35">
      <c r="A62">
        <v>61</v>
      </c>
      <c r="B62" s="5" t="str">
        <f t="shared" si="0"/>
        <v>jo5c00156</v>
      </c>
      <c r="C62" s="1" t="str">
        <f t="shared" si="1"/>
        <v>jo5c00156</v>
      </c>
      <c r="D62">
        <f>IF(F62=1,"",IF(AND(D61="",S61=S62),"",S62-SUM(F$2:F61)))</f>
        <v>41</v>
      </c>
      <c r="E62" t="str">
        <f t="shared" si="2"/>
        <v>0</v>
      </c>
      <c r="F62">
        <v>0</v>
      </c>
      <c r="H62">
        <v>62</v>
      </c>
      <c r="I62">
        <v>62</v>
      </c>
      <c r="M62" t="str">
        <f t="shared" si="3"/>
        <v>/*41 jo5c00156 */"https://doi.org/10.1021/acs.joc.5c00156.s002",//Regioselective Synthesis of (E)‑3-((Alkylamino)methylene)-2-thioxothiochroman-4-one Derivatives and Their Regioselective Cycloaddition with Alkynes</v>
      </c>
      <c r="N62" t="e">
        <f t="shared" si="4"/>
        <v>#N/A</v>
      </c>
      <c r="O62" t="b">
        <f t="shared" si="5"/>
        <v>0</v>
      </c>
      <c r="P62" s="14" t="s">
        <v>566</v>
      </c>
      <c r="Q62" s="13" t="s">
        <v>567</v>
      </c>
      <c r="R62" t="str">
        <f t="shared" si="6"/>
        <v>002</v>
      </c>
      <c r="S62">
        <f t="shared" si="12"/>
        <v>45</v>
      </c>
      <c r="T62" s="13" t="str">
        <f>VLOOKUP(Q62,original!B:C,2,FALSE)</f>
        <v>Regioselective Synthesis of (E)‑3-((Alkylamino)methylene)-2-thioxothiochroman-4-one Derivatives and Their Regioselective Cycloaddition with Alkynes</v>
      </c>
      <c r="U62" s="13" t="s">
        <v>568</v>
      </c>
      <c r="V62" t="str">
        <f t="shared" si="7"/>
        <v>jo5c00156</v>
      </c>
      <c r="W62" t="str">
        <f t="shared" si="8"/>
        <v>jo5c00156_si_002.zip</v>
      </c>
      <c r="X62" t="str">
        <f t="shared" si="9"/>
        <v>https://acs.figshare.com/articles/dataset/Regioselective_Synthesis_of_i_E_i_3-_Alkylamino_methylene_-2-thioxothiochroman-4-one_Derivatives_and_Their_Regioselective_Cycloaddition_with_Alkynes/29366711</v>
      </c>
      <c r="Y62" s="1" t="str">
        <f t="shared" si="13"/>
        <v>--localSource c:/temp/acs2/data --targetDir c:/temp/acs2/$DOI$ --noDownload --readOnly  --pubDOI https://doi.org/10.1021/acs.joc.5c00156 --dataDOI "10.1021/acs.joc.5c00156https://acs.figshare.com/articles/dataset/Regioselective_Synthesis_of_i_E_i_3-_Alkylamino_methylene_-2-thioxothiochroman-4-one_Derivatives_and_Their_Regioselective_Cycloaddition_with_Alkynes/29366711"</v>
      </c>
      <c r="Z62" t="str">
        <f t="shared" si="10"/>
        <v>&lt;br&gt;&lt;a href="https://doi.org/10.1021/acs.joc.5c00156.s002"&gt;https://doi.org/10.1021/acs.joc.5c00156.s002&lt;/a&gt;</v>
      </c>
      <c r="AA62" t="str">
        <f t="shared" si="11"/>
        <v/>
      </c>
    </row>
    <row r="63" spans="1:28" x14ac:dyDescent="0.35">
      <c r="A63">
        <v>62</v>
      </c>
      <c r="B63" s="5" t="str">
        <f t="shared" si="0"/>
        <v>jo5c00161</v>
      </c>
      <c r="C63" s="1" t="str">
        <f t="shared" si="1"/>
        <v>jo5c00161</v>
      </c>
      <c r="D63">
        <f>IF(F63=1,"",IF(AND(D62="",S62=S63),"",S63-SUM(F$2:F62)))</f>
        <v>42</v>
      </c>
      <c r="E63" t="str">
        <f t="shared" si="2"/>
        <v>0</v>
      </c>
      <c r="F63">
        <v>0</v>
      </c>
      <c r="H63">
        <v>0</v>
      </c>
      <c r="I63">
        <v>0</v>
      </c>
      <c r="M63" t="str">
        <f t="shared" si="3"/>
        <v>/*42 jo5c00161 */"https://doi.org/10.1021/acs.joc.5c00161.s002",//Rise of Ketone α‑Hydrolysis: Revisiting SNAcyl, E1cB Mechanisms and Carbon-Based Leaving Groups in One Reaction for Drug-Targeting Applications</v>
      </c>
      <c r="N63" t="e">
        <f t="shared" si="4"/>
        <v>#N/A</v>
      </c>
      <c r="O63" t="b">
        <f t="shared" si="5"/>
        <v>0</v>
      </c>
      <c r="P63" s="13" t="s">
        <v>633</v>
      </c>
      <c r="Q63" s="13" t="s">
        <v>634</v>
      </c>
      <c r="R63" t="str">
        <f t="shared" si="6"/>
        <v>002</v>
      </c>
      <c r="S63">
        <f t="shared" si="12"/>
        <v>46</v>
      </c>
      <c r="T63" s="13" t="str">
        <f>VLOOKUP(Q63,original!B:C,2,FALSE)</f>
        <v>Rise of Ketone α‑Hydrolysis: Revisiting SNAcyl, E1cB Mechanisms and Carbon-Based Leaving Groups in One Reaction for Drug-Targeting Applications</v>
      </c>
      <c r="U63" s="13" t="s">
        <v>635</v>
      </c>
      <c r="V63" t="str">
        <f t="shared" si="7"/>
        <v>jo5c00161</v>
      </c>
      <c r="W63" t="str">
        <f t="shared" si="8"/>
        <v>jo5c00161_si_002.zip</v>
      </c>
      <c r="X63" t="str">
        <f t="shared" si="9"/>
        <v>https://acs.figshare.com/articles/dataset/Rise_of_Ketone_Hydrolysis_Revisiting_S_sub_N_sub_Acyl_E1cB_Mechanisms_and_Carbon-Based_Leaving_Groups_in_One_Reaction_for_Drug-Targeting_Applications/29198281</v>
      </c>
      <c r="Y63" s="1" t="str">
        <f t="shared" si="13"/>
        <v>--localSource c:/temp/acs2/data --targetDir c:/temp/acs2/$DOI$ --noDownload --readOnly  --pubDOI https://doi.org/10.1021/acs.joc.5c00161 --dataDOI "10.1021/acs.joc.5c00161https://acs.figshare.com/articles/dataset/Rise_of_Ketone_Hydrolysis_Revisiting_S_sub_N_sub_Acyl_E1cB_Mechanisms_and_Carbon-Based_Leaving_Groups_in_One_Reaction_for_Drug-Targeting_Applications/29198281"</v>
      </c>
      <c r="Z63" t="str">
        <f t="shared" si="10"/>
        <v>&lt;br&gt;&lt;a href="https://doi.org/10.1021/acs.joc.5c00161.s002"&gt;https://doi.org/10.1021/acs.joc.5c00161.s002&lt;/a&gt;</v>
      </c>
      <c r="AA63" t="str">
        <f t="shared" si="11"/>
        <v/>
      </c>
    </row>
    <row r="64" spans="1:28" x14ac:dyDescent="0.35">
      <c r="A64">
        <v>63</v>
      </c>
      <c r="B64" s="5" t="str">
        <f t="shared" si="0"/>
        <v>jo5c00171</v>
      </c>
      <c r="C64" s="1" t="str">
        <f t="shared" si="1"/>
        <v>jo5c00171</v>
      </c>
      <c r="D64">
        <f>IF(F64=1,"",IF(AND(D63="",S63=S64),"",S64-SUM(F$2:F63)))</f>
        <v>43</v>
      </c>
      <c r="E64" t="str">
        <f t="shared" si="2"/>
        <v>0</v>
      </c>
      <c r="F64">
        <v>0</v>
      </c>
      <c r="H64">
        <v>44</v>
      </c>
      <c r="I64">
        <v>71</v>
      </c>
      <c r="M64" t="str">
        <f t="shared" si="3"/>
        <v>/*43 jo5c00171 */"https://doi.org/10.1021/acs.joc.5c00171.s002",//Intramolecular ortho Photocycloaddition of 4‑Substituted 7‑(4′-Alkenyloxy)-1-indanones and Ensuing Reaction Cascades</v>
      </c>
      <c r="N64" t="e">
        <f t="shared" si="4"/>
        <v>#N/A</v>
      </c>
      <c r="O64" t="b">
        <f t="shared" si="5"/>
        <v>0</v>
      </c>
      <c r="P64" s="13" t="s">
        <v>832</v>
      </c>
      <c r="Q64" s="13" t="s">
        <v>833</v>
      </c>
      <c r="R64" t="str">
        <f t="shared" si="6"/>
        <v>002</v>
      </c>
      <c r="S64">
        <f t="shared" si="12"/>
        <v>47</v>
      </c>
      <c r="T64" s="13" t="str">
        <f>VLOOKUP(Q64,original!B:C,2,FALSE)</f>
        <v>Intramolecular ortho Photocycloaddition of 4‑Substituted 7‑(4′-Alkenyloxy)-1-indanones and Ensuing Reaction Cascades</v>
      </c>
      <c r="U64" s="13" t="s">
        <v>834</v>
      </c>
      <c r="V64" t="str">
        <f t="shared" si="7"/>
        <v>jo5c00171</v>
      </c>
      <c r="W64" t="str">
        <f t="shared" si="8"/>
        <v>jo5c00171_si_002.zip</v>
      </c>
      <c r="X64" t="str">
        <f t="shared" si="9"/>
        <v>https://acs.figshare.com/articles/dataset/Intramolecular_i_ortho_i_Photocycloaddition_of_4_Substituted_7_4_-Alkenyloxy_-1-indanones_and_Ensuing_Reaction_Cascades/28573998</v>
      </c>
      <c r="Y64" s="1" t="str">
        <f t="shared" si="13"/>
        <v>--localSource c:/temp/acs2/data --targetDir c:/temp/acs2/$DOI$ --noDownload --readOnly  --pubDOI https://doi.org/10.1021/acs.joc.5c00171 --dataDOI "10.1021/acs.joc.5c00171https://acs.figshare.com/articles/dataset/Intramolecular_i_ortho_i_Photocycloaddition_of_4_Substituted_7_4_-Alkenyloxy_-1-indanones_and_Ensuing_Reaction_Cascades/28573998"</v>
      </c>
      <c r="Z64" t="str">
        <f t="shared" si="10"/>
        <v>&lt;br&gt;&lt;a href="https://doi.org/10.1021/acs.joc.5c00171.s002"&gt;https://doi.org/10.1021/acs.joc.5c00171.s002&lt;/a&gt;</v>
      </c>
      <c r="AA64" t="str">
        <f t="shared" si="11"/>
        <v/>
      </c>
    </row>
    <row r="65" spans="1:27" x14ac:dyDescent="0.35">
      <c r="A65">
        <v>64</v>
      </c>
      <c r="B65" s="5" t="str">
        <f t="shared" si="0"/>
        <v>jo5c00172</v>
      </c>
      <c r="C65" s="1" t="str">
        <f t="shared" si="1"/>
        <v>#jo5c00172 CALCULATION ONLY XYZ</v>
      </c>
      <c r="D65" t="str">
        <f>IF(F65=1,"",IF(AND(D64="",S64=S65),"",S65-SUM(F$2:F64)))</f>
        <v/>
      </c>
      <c r="E65" t="str">
        <f t="shared" si="2"/>
        <v>0</v>
      </c>
      <c r="F65">
        <v>1</v>
      </c>
      <c r="G65" t="s">
        <v>1053</v>
      </c>
      <c r="M65" t="str">
        <f t="shared" si="3"/>
        <v/>
      </c>
      <c r="N65" t="str">
        <f t="shared" si="4"/>
        <v>jo5c00172_si_002.xyz</v>
      </c>
      <c r="O65" t="b">
        <f t="shared" si="5"/>
        <v>1</v>
      </c>
      <c r="P65" s="13" t="s">
        <v>656</v>
      </c>
      <c r="Q65" s="13" t="s">
        <v>657</v>
      </c>
      <c r="R65" t="str">
        <f t="shared" si="6"/>
        <v>002</v>
      </c>
      <c r="S65">
        <f t="shared" si="12"/>
        <v>48</v>
      </c>
      <c r="T65" s="13" t="str">
        <f>VLOOKUP(Q65,original!B:C,2,FALSE)</f>
        <v>Cu(I)-Catalyzed Stereoselective Glycosylation of “Electron-Deficient” Glycals</v>
      </c>
      <c r="U65" s="13" t="s">
        <v>658</v>
      </c>
      <c r="V65" t="str">
        <f t="shared" si="7"/>
        <v>jo5c00172</v>
      </c>
      <c r="W65" t="str">
        <f t="shared" si="8"/>
        <v>jo5c00172_si_002.zip</v>
      </c>
      <c r="X65" t="str">
        <f t="shared" si="9"/>
        <v>https://acs.figshare.com/articles/dataset/Cu_I_-Catalyzed_Stereoselective_Glycosylation_of_Electron-Deficient_Glycals/29115227</v>
      </c>
      <c r="Y65" s="1" t="str">
        <f t="shared" si="13"/>
        <v>--localSource c:/temp/acs2/data --targetDir c:/temp/acs2/$DOI$ --noDownload --readOnly  --pubDOI https://doi.org/10.1021/acs.joc.5c00172 --dataDOI "10.1021/acs.joc.5c00172https://acs.figshare.com/articles/dataset/Cu_I_-Catalyzed_Stereoselective_Glycosylation_of_Electron-Deficient_Glycals/29115227"</v>
      </c>
      <c r="Z65" t="str">
        <f t="shared" si="10"/>
        <v>&lt;br&gt;&lt;a href="https://doi.org/10.1021/acs.joc.5c00172.s002"&gt;https://doi.org/10.1021/acs.joc.5c00172.s002&lt;/a&gt;</v>
      </c>
      <c r="AA65" t="str">
        <f t="shared" si="11"/>
        <v/>
      </c>
    </row>
    <row r="66" spans="1:27" x14ac:dyDescent="0.35">
      <c r="A66">
        <v>65</v>
      </c>
      <c r="B66" s="5" t="str">
        <f t="shared" ref="B66:B129" si="14">V66</f>
        <v>jo5c00184</v>
      </c>
      <c r="C66" s="1" t="str">
        <f t="shared" ref="C66:C129" si="15">IF(Y66="","",IF(OR(O66,F66=1,M66=""),"#"&amp;B66 &amp;" "&amp;G66,B66&amp;IF(G66="",""," # " &amp;G66)))</f>
        <v>jo5c00184</v>
      </c>
      <c r="D66">
        <f>IF(F66=1,"",IF(AND(D65="",S65=S66),"",S66-SUM(F$2:F65)))</f>
        <v>44</v>
      </c>
      <c r="E66" t="str">
        <f t="shared" ref="E66:E129" si="16">IF(B66=B65,"1","0")</f>
        <v>0</v>
      </c>
      <c r="F66">
        <v>0</v>
      </c>
      <c r="H66">
        <v>164</v>
      </c>
      <c r="I66">
        <v>164</v>
      </c>
      <c r="M66" t="str">
        <f t="shared" ref="M66:M129" si="17">IF(OR(O66,D66=""),"","/*"&amp;D66&amp;" " &amp; B66 &amp;" */"""&amp;Q66&amp;""",//"&amp;T66)</f>
        <v>/*44 jo5c00184 */"https://doi.org/10.1021/acs.joc.5c00184.s002",//Palladium Catalyst-Controlled Regiodivergent C–H Arylation of Thiazoles</v>
      </c>
      <c r="N66" t="e">
        <f t="shared" ref="N66:N129" si="18">VLOOKUP(W66,AA:AB,2,FALSE)</f>
        <v>#N/A</v>
      </c>
      <c r="O66" t="b">
        <f t="shared" ref="O66:O129" si="19">NOT(ISNA(VLOOKUP(W66,AA:AA,1,FALSE)))</f>
        <v>0</v>
      </c>
      <c r="P66" s="13" t="s">
        <v>606</v>
      </c>
      <c r="Q66" s="13" t="s">
        <v>607</v>
      </c>
      <c r="R66" t="str">
        <f t="shared" ref="R66:R129" si="20">MID(Q66,LEN(Q66)-2,4)</f>
        <v>002</v>
      </c>
      <c r="S66">
        <f t="shared" si="12"/>
        <v>49</v>
      </c>
      <c r="T66" s="13" t="str">
        <f>VLOOKUP(Q66,original!B:C,2,FALSE)</f>
        <v>Palladium Catalyst-Controlled Regiodivergent C–H Arylation of Thiazoles</v>
      </c>
      <c r="U66" s="13" t="s">
        <v>608</v>
      </c>
      <c r="V66" t="str">
        <f t="shared" ref="V66:V129" si="21">SUBSTITUTE(SUBSTITUTE(MID(U66,LEN(U66)-8,100),"c.","jo"),"t.","ol")</f>
        <v>jo5c00184</v>
      </c>
      <c r="W66" t="str">
        <f t="shared" ref="W66:W129" si="22">B66&amp;"_si_"&amp;R66&amp;".zip"</f>
        <v>jo5c00184_si_002.zip</v>
      </c>
      <c r="X66" t="str">
        <f t="shared" ref="X66:X129" si="23">IF(U66&lt;&gt;U65,P66,X65&amp;"\t"&amp;P66)</f>
        <v>https://acs.figshare.com/articles/dataset/Palladium_Catalyst-Controlled_Regiodivergent_C_H_Arylation_of_Thiazoles/29255810</v>
      </c>
      <c r="Y66" s="1" t="str">
        <f t="shared" si="13"/>
        <v>--localSource c:/temp/acs2/data --targetDir c:/temp/acs2/$DOI$ --noDownload --readOnly  --pubDOI https://doi.org/10.1021/acs.joc.5c00184 --dataDOI "10.1021/acs.joc.5c00184https://acs.figshare.com/articles/dataset/Palladium_Catalyst-Controlled_Regiodivergent_C_H_Arylation_of_Thiazoles/29255810"</v>
      </c>
      <c r="Z66" t="str">
        <f t="shared" ref="Z66:Z129" si="24">"&lt;br&gt;&lt;a href="""&amp;Q66&amp;"""&gt;"&amp;Q66&amp;"&lt;/a&gt;"</f>
        <v>&lt;br&gt;&lt;a href="https://doi.org/10.1021/acs.joc.5c00184.s002"&gt;https://doi.org/10.1021/acs.joc.5c00184.s002&lt;/a&gt;</v>
      </c>
      <c r="AA66" t="str">
        <f t="shared" ref="AA66:AA129" si="25">IF(AB66="","",MID(AB66,1,LEN(AB66)-4)&amp;".zip")</f>
        <v/>
      </c>
    </row>
    <row r="67" spans="1:27" x14ac:dyDescent="0.35">
      <c r="A67">
        <v>66</v>
      </c>
      <c r="B67" s="5" t="str">
        <f t="shared" si="14"/>
        <v>jo5c00188</v>
      </c>
      <c r="C67" s="1" t="str">
        <f t="shared" si="15"/>
        <v>jo5c00188</v>
      </c>
      <c r="D67">
        <f>IF(F67=1,"",IF(AND(D66="",S66=S67),"",S67-SUM(F$2:F66)))</f>
        <v>45</v>
      </c>
      <c r="E67" t="str">
        <f t="shared" si="16"/>
        <v>0</v>
      </c>
      <c r="F67">
        <v>0</v>
      </c>
      <c r="H67">
        <v>38</v>
      </c>
      <c r="I67">
        <v>76</v>
      </c>
      <c r="M67" t="str">
        <f t="shared" si="17"/>
        <v>/*45 jo5c00188 */"https://doi.org/10.1021/acs.joc.5c00188.s001",//Synthesis of Sulfonylthiophenes through [3+2] Cycloaddition of Pyridinium 1,4-Zwitterionic Thiolates with (E)‑β-Iodovinyl Sulfones or Bromoallylsulfones</v>
      </c>
      <c r="N67" t="e">
        <f t="shared" si="18"/>
        <v>#N/A</v>
      </c>
      <c r="O67" t="b">
        <f t="shared" si="19"/>
        <v>0</v>
      </c>
      <c r="P67" s="13" t="s">
        <v>693</v>
      </c>
      <c r="Q67" s="13" t="s">
        <v>694</v>
      </c>
      <c r="R67" t="str">
        <f t="shared" si="20"/>
        <v>001</v>
      </c>
      <c r="S67">
        <f t="shared" ref="S67:S130" si="26">IF(U67=U66,S66,S66+1)</f>
        <v>50</v>
      </c>
      <c r="T67" s="13" t="str">
        <f>VLOOKUP(Q67,original!B:C,2,FALSE)</f>
        <v>Synthesis of Sulfonylthiophenes through [3+2] Cycloaddition of Pyridinium 1,4-Zwitterionic Thiolates with (E)‑β-Iodovinyl Sulfones or Bromoallylsulfones</v>
      </c>
      <c r="U67" s="13" t="s">
        <v>695</v>
      </c>
      <c r="V67" t="str">
        <f t="shared" si="21"/>
        <v>jo5c00188</v>
      </c>
      <c r="W67" t="str">
        <f t="shared" si="22"/>
        <v>jo5c00188_si_001.zip</v>
      </c>
      <c r="X67" t="str">
        <f t="shared" si="23"/>
        <v>https://acs.figshare.com/articles/dataset/Synthesis_of_Sulfonylthiophenes_through_3_2_Cycloaddition_of_Pyridinium_1_4-Zwitterionic_Thiolates_with_i_E_i_-Iodovinyl_Sulfones_or_Bromoallylsulfones/28945656</v>
      </c>
      <c r="Y67" s="1" t="str">
        <f t="shared" ref="Y67:Y130" si="27">IF(U67&lt;&gt;U68,$Y$1&amp;" --pubDOI "&amp; U67&amp;" --dataDOI """&amp;SUBSTITUTE(U67&amp;X67&amp;"""","https://doi.org/",""),"")</f>
        <v>--localSource c:/temp/acs2/data --targetDir c:/temp/acs2/$DOI$ --noDownload --readOnly  --pubDOI https://doi.org/10.1021/acs.joc.5c00188 --dataDOI "10.1021/acs.joc.5c00188https://acs.figshare.com/articles/dataset/Synthesis_of_Sulfonylthiophenes_through_3_2_Cycloaddition_of_Pyridinium_1_4-Zwitterionic_Thiolates_with_i_E_i_-Iodovinyl_Sulfones_or_Bromoallylsulfones/28945656"</v>
      </c>
      <c r="Z67" t="str">
        <f t="shared" si="24"/>
        <v>&lt;br&gt;&lt;a href="https://doi.org/10.1021/acs.joc.5c00188.s001"&gt;https://doi.org/10.1021/acs.joc.5c00188.s001&lt;/a&gt;</v>
      </c>
      <c r="AA67" t="str">
        <f t="shared" si="25"/>
        <v/>
      </c>
    </row>
    <row r="68" spans="1:27" x14ac:dyDescent="0.35">
      <c r="A68">
        <v>67</v>
      </c>
      <c r="B68" s="5" t="str">
        <f t="shared" si="14"/>
        <v>jo5c00189</v>
      </c>
      <c r="C68" s="1" t="str">
        <f t="shared" si="15"/>
        <v>jo5c00189</v>
      </c>
      <c r="D68">
        <f>IF(F68=1,"",IF(AND(D67="",S67=S68),"",S68-SUM(F$2:F67)))</f>
        <v>46</v>
      </c>
      <c r="E68" t="str">
        <f t="shared" si="16"/>
        <v>0</v>
      </c>
      <c r="F68">
        <v>0</v>
      </c>
      <c r="H68">
        <v>44</v>
      </c>
      <c r="I68">
        <v>99</v>
      </c>
      <c r="M68" t="str">
        <f t="shared" si="17"/>
        <v>/*46 jo5c00189 */"https://doi.org/10.1021/acs.joc.5c00189.s002",//Synthesis of Phenanthrenes and Naphthoquinone Fused Benzoxepines via Hauser–Kraus Annulation of Sulfonylphthalide with Morita–Baylis–Hillman Adducts of Nitroalkenes</v>
      </c>
      <c r="N68" t="e">
        <f t="shared" si="18"/>
        <v>#N/A</v>
      </c>
      <c r="O68" t="b">
        <f t="shared" si="19"/>
        <v>0</v>
      </c>
      <c r="P68" s="13" t="s">
        <v>733</v>
      </c>
      <c r="Q68" s="13" t="s">
        <v>734</v>
      </c>
      <c r="R68" t="str">
        <f t="shared" si="20"/>
        <v>002</v>
      </c>
      <c r="S68">
        <f t="shared" si="26"/>
        <v>51</v>
      </c>
      <c r="T68" s="13" t="str">
        <f>VLOOKUP(Q68,original!B:C,2,FALSE)</f>
        <v>Synthesis of Phenanthrenes and Naphthoquinone Fused Benzoxepines via Hauser–Kraus Annulation of Sulfonylphthalide with Morita–Baylis–Hillman Adducts of Nitroalkenes</v>
      </c>
      <c r="U68" s="13" t="s">
        <v>735</v>
      </c>
      <c r="V68" t="str">
        <f t="shared" si="21"/>
        <v>jo5c00189</v>
      </c>
      <c r="W68" t="str">
        <f t="shared" si="22"/>
        <v>jo5c00189_si_002.zip</v>
      </c>
      <c r="X68" t="str">
        <f t="shared" si="23"/>
        <v>https://acs.figshare.com/articles/dataset/Synthesis_of_Phenanthrenes_and_Naphthoquinone_Fused_Benzoxepines_via_Hauser_Kraus_Annulation_of_Sulfonylphthalide_with_Morita_Baylis_Hillman_Adducts_of_Nitroalkenes/28795867</v>
      </c>
      <c r="Y68" s="1" t="str">
        <f t="shared" si="27"/>
        <v>--localSource c:/temp/acs2/data --targetDir c:/temp/acs2/$DOI$ --noDownload --readOnly  --pubDOI https://doi.org/10.1021/acs.joc.5c00189 --dataDOI "10.1021/acs.joc.5c00189https://acs.figshare.com/articles/dataset/Synthesis_of_Phenanthrenes_and_Naphthoquinone_Fused_Benzoxepines_via_Hauser_Kraus_Annulation_of_Sulfonylphthalide_with_Morita_Baylis_Hillman_Adducts_of_Nitroalkenes/28795867"</v>
      </c>
      <c r="Z68" t="str">
        <f t="shared" si="24"/>
        <v>&lt;br&gt;&lt;a href="https://doi.org/10.1021/acs.joc.5c00189.s002"&gt;https://doi.org/10.1021/acs.joc.5c00189.s002&lt;/a&gt;</v>
      </c>
      <c r="AA68" t="str">
        <f t="shared" si="25"/>
        <v/>
      </c>
    </row>
    <row r="69" spans="1:27" x14ac:dyDescent="0.35">
      <c r="A69">
        <v>68</v>
      </c>
      <c r="B69" s="5" t="str">
        <f t="shared" si="14"/>
        <v>jo5c00193</v>
      </c>
      <c r="C69" s="1" t="str">
        <f t="shared" si="15"/>
        <v>jo5c00193</v>
      </c>
      <c r="D69">
        <f>IF(F69=1,"",IF(AND(D68="",S68=S69),"",S69-SUM(F$2:F68)))</f>
        <v>47</v>
      </c>
      <c r="E69" t="str">
        <f t="shared" si="16"/>
        <v>0</v>
      </c>
      <c r="F69">
        <v>0</v>
      </c>
      <c r="H69">
        <v>22</v>
      </c>
      <c r="I69">
        <v>69</v>
      </c>
      <c r="M69" t="str">
        <f t="shared" si="17"/>
        <v>/*47 jo5c00193 */"https://doi.org/10.1021/acs.joc.5c00193.s002",//Photoinduced Regio- and Stereoselective Hydrotrifluoromethylation of Glycals with Langlois Reagent</v>
      </c>
      <c r="N69" t="e">
        <f t="shared" si="18"/>
        <v>#N/A</v>
      </c>
      <c r="O69" t="b">
        <f t="shared" si="19"/>
        <v>0</v>
      </c>
      <c r="P69" s="13" t="s">
        <v>686</v>
      </c>
      <c r="Q69" s="13" t="s">
        <v>687</v>
      </c>
      <c r="R69" t="str">
        <f t="shared" si="20"/>
        <v>002</v>
      </c>
      <c r="S69">
        <f t="shared" si="26"/>
        <v>52</v>
      </c>
      <c r="T69" s="13" t="str">
        <f>VLOOKUP(Q69,original!B:C,2,FALSE)</f>
        <v>Photoinduced Regio- and Stereoselective Hydrotrifluoromethylation of Glycals with Langlois Reagent</v>
      </c>
      <c r="U69" s="13" t="s">
        <v>689</v>
      </c>
      <c r="V69" t="str">
        <f t="shared" si="21"/>
        <v>jo5c00193</v>
      </c>
      <c r="W69" t="str">
        <f t="shared" si="22"/>
        <v>jo5c00193_si_002.zip</v>
      </c>
      <c r="X69" t="str">
        <f t="shared" si="23"/>
        <v>https://acs.figshare.com/articles/dataset/Photoinduced_Regio-_and_Stereoselective_Hydrotrifluoromethylation_of_Glycals_with_Langlois_Reagent/29053953</v>
      </c>
      <c r="Y69" s="1" t="str">
        <f t="shared" si="27"/>
        <v>--localSource c:/temp/acs2/data --targetDir c:/temp/acs2/$DOI$ --noDownload --readOnly  --pubDOI https://doi.org/10.1021/acs.joc.5c00193 --dataDOI "10.1021/acs.joc.5c00193https://acs.figshare.com/articles/dataset/Photoinduced_Regio-_and_Stereoselective_Hydrotrifluoromethylation_of_Glycals_with_Langlois_Reagent/29053953"</v>
      </c>
      <c r="Z69" t="str">
        <f t="shared" si="24"/>
        <v>&lt;br&gt;&lt;a href="https://doi.org/10.1021/acs.joc.5c00193.s002"&gt;https://doi.org/10.1021/acs.joc.5c00193.s002&lt;/a&gt;</v>
      </c>
      <c r="AA69" t="str">
        <f t="shared" si="25"/>
        <v/>
      </c>
    </row>
    <row r="70" spans="1:27" x14ac:dyDescent="0.35">
      <c r="A70">
        <v>69</v>
      </c>
      <c r="B70" s="5" t="str">
        <f t="shared" si="14"/>
        <v>jo5c00225</v>
      </c>
      <c r="C70" s="1" t="str">
        <f t="shared" si="15"/>
        <v xml:space="preserve">#jo5c00225 </v>
      </c>
      <c r="D70" t="str">
        <f>IF(F70=1,"",IF(AND(D69="",S69=S70),"",S70-SUM(F$2:F69)))</f>
        <v/>
      </c>
      <c r="E70" t="str">
        <f t="shared" si="16"/>
        <v>0</v>
      </c>
      <c r="F70">
        <v>1</v>
      </c>
      <c r="M70" t="str">
        <f t="shared" si="17"/>
        <v/>
      </c>
      <c r="N70" t="str">
        <f t="shared" si="18"/>
        <v>jo5c00225_si_002.xyz</v>
      </c>
      <c r="O70" t="b">
        <f t="shared" si="19"/>
        <v>1</v>
      </c>
      <c r="P70" s="13" t="s">
        <v>723</v>
      </c>
      <c r="Q70" s="13" t="s">
        <v>724</v>
      </c>
      <c r="R70" t="str">
        <f t="shared" si="20"/>
        <v>002</v>
      </c>
      <c r="S70">
        <f t="shared" si="26"/>
        <v>53</v>
      </c>
      <c r="T70" s="13" t="str">
        <f>VLOOKUP(Q70,original!B:C,2,FALSE)</f>
        <v>N‑Heterocyclic Carbene-Carbodiimide (NHC-CDI) Adducts: A Systematic Investigation of Electronic Modifications on Kinetic and Thermodynamic Properties of Adduct Association and Dissociation</v>
      </c>
      <c r="U70" s="13" t="s">
        <v>725</v>
      </c>
      <c r="V70" t="str">
        <f t="shared" si="21"/>
        <v>jo5c00225</v>
      </c>
      <c r="W70" t="str">
        <f t="shared" si="22"/>
        <v>jo5c00225_si_002.zip</v>
      </c>
      <c r="X70" t="str">
        <f t="shared" si="23"/>
        <v>https://acs.figshare.com/articles/dataset/_i_N_i_Heterocyclic_Carbene-Carbodiimide_NHC-CDI_Adducts_A_Systematic_Investigation_of_Electronic_Modifications_on_Kinetic_and_Thermodynamic_Properties_of_Adduct_Association_and_Dissociation/28830707</v>
      </c>
      <c r="Y70" s="1" t="str">
        <f t="shared" si="27"/>
        <v>--localSource c:/temp/acs2/data --targetDir c:/temp/acs2/$DOI$ --noDownload --readOnly  --pubDOI https://doi.org/10.1021/acs.joc.5c00225 --dataDOI "10.1021/acs.joc.5c00225https://acs.figshare.com/articles/dataset/_i_N_i_Heterocyclic_Carbene-Carbodiimide_NHC-CDI_Adducts_A_Systematic_Investigation_of_Electronic_Modifications_on_Kinetic_and_Thermodynamic_Properties_of_Adduct_Association_and_Dissociation/28830707"</v>
      </c>
      <c r="Z70" t="str">
        <f t="shared" si="24"/>
        <v>&lt;br&gt;&lt;a href="https://doi.org/10.1021/acs.joc.5c00225.s002"&gt;https://doi.org/10.1021/acs.joc.5c00225.s002&lt;/a&gt;</v>
      </c>
      <c r="AA70" t="str">
        <f t="shared" si="25"/>
        <v/>
      </c>
    </row>
    <row r="71" spans="1:27" x14ac:dyDescent="0.35">
      <c r="A71">
        <v>70</v>
      </c>
      <c r="B71" s="5" t="str">
        <f t="shared" si="14"/>
        <v>jo5c00228</v>
      </c>
      <c r="C71" s="1" t="str">
        <f t="shared" si="15"/>
        <v>#jo5c00228 DOC FILES ONLY</v>
      </c>
      <c r="D71" t="str">
        <f>IF(F71=1,"",IF(AND(D70="",S70=S71),"",S71-SUM(F$2:F70)))</f>
        <v/>
      </c>
      <c r="E71" t="str">
        <f t="shared" si="16"/>
        <v>0</v>
      </c>
      <c r="F71">
        <v>1</v>
      </c>
      <c r="G71" t="s">
        <v>1054</v>
      </c>
      <c r="M71" t="str">
        <f t="shared" si="17"/>
        <v/>
      </c>
      <c r="N71" t="e">
        <f t="shared" si="18"/>
        <v>#N/A</v>
      </c>
      <c r="O71" t="b">
        <f t="shared" si="19"/>
        <v>0</v>
      </c>
      <c r="P71" s="13" t="s">
        <v>823</v>
      </c>
      <c r="Q71" s="13" t="s">
        <v>824</v>
      </c>
      <c r="R71" t="str">
        <f t="shared" si="20"/>
        <v>002</v>
      </c>
      <c r="S71">
        <f t="shared" si="26"/>
        <v>54</v>
      </c>
      <c r="T71" s="13" t="str">
        <f>VLOOKUP(Q71,original!B:C,2,FALSE)</f>
        <v>Electrochemical Synthesis of γ‑Lactones from the Intermolecular Oxidative Coupling between Malonates and Styrenes</v>
      </c>
      <c r="U71" s="13" t="s">
        <v>825</v>
      </c>
      <c r="V71" t="str">
        <f t="shared" si="21"/>
        <v>jo5c00228</v>
      </c>
      <c r="W71" t="str">
        <f t="shared" si="22"/>
        <v>jo5c00228_si_002.zip</v>
      </c>
      <c r="X71" t="str">
        <f t="shared" si="23"/>
        <v>https://acs.figshare.com/articles/dataset/Electrochemical_Synthesis_of_Lactones_from_the_Intermolecular_Oxidative_Coupling_between_Malonates_and_Styrenes/28605453</v>
      </c>
      <c r="Y71" s="1" t="str">
        <f t="shared" si="27"/>
        <v>--localSource c:/temp/acs2/data --targetDir c:/temp/acs2/$DOI$ --noDownload --readOnly  --pubDOI https://doi.org/10.1021/acs.joc.5c00228 --dataDOI "10.1021/acs.joc.5c00228https://acs.figshare.com/articles/dataset/Electrochemical_Synthesis_of_Lactones_from_the_Intermolecular_Oxidative_Coupling_between_Malonates_and_Styrenes/28605453"</v>
      </c>
      <c r="Z71" t="str">
        <f t="shared" si="24"/>
        <v>&lt;br&gt;&lt;a href="https://doi.org/10.1021/acs.joc.5c00228.s002"&gt;https://doi.org/10.1021/acs.joc.5c00228.s002&lt;/a&gt;</v>
      </c>
      <c r="AA71" t="str">
        <f t="shared" si="25"/>
        <v/>
      </c>
    </row>
    <row r="72" spans="1:27" x14ac:dyDescent="0.35">
      <c r="A72">
        <v>71</v>
      </c>
      <c r="B72" s="5" t="str">
        <f t="shared" si="14"/>
        <v>jo5c00246</v>
      </c>
      <c r="C72" s="1" t="str">
        <f t="shared" si="15"/>
        <v>jo5c00246</v>
      </c>
      <c r="D72">
        <f>IF(F72=1,"",IF(AND(D71="",S71=S72),"",S72-SUM(F$2:F71)))</f>
        <v>48</v>
      </c>
      <c r="E72" t="str">
        <f t="shared" si="16"/>
        <v>0</v>
      </c>
      <c r="F72">
        <v>0</v>
      </c>
      <c r="H72">
        <v>26</v>
      </c>
      <c r="I72">
        <v>53</v>
      </c>
      <c r="M72" t="str">
        <f t="shared" si="17"/>
        <v>/*48 jo5c00246 */"https://doi.org/10.1021/acs.joc.5c00246.s002",//In Situ Generation and [3 + 2] Annulation Reactions of PropiolaldehydeA Metal-Free, Cascade Route to Pyrazole and Bipyrazole Carboxaldehydes in One Pot</v>
      </c>
      <c r="N72" t="e">
        <f t="shared" si="18"/>
        <v>#N/A</v>
      </c>
      <c r="O72" t="b">
        <f t="shared" si="19"/>
        <v>0</v>
      </c>
      <c r="P72" s="13" t="s">
        <v>690</v>
      </c>
      <c r="Q72" s="13" t="s">
        <v>691</v>
      </c>
      <c r="R72" t="str">
        <f t="shared" si="20"/>
        <v>002</v>
      </c>
      <c r="S72">
        <f t="shared" si="26"/>
        <v>55</v>
      </c>
      <c r="T72" s="13" t="str">
        <f>VLOOKUP(Q72,original!B:C,2,FALSE)</f>
        <v>In Situ Generation and [3 + 2] Annulation Reactions of PropiolaldehydeA Metal-Free, Cascade Route to Pyrazole and Bipyrazole Carboxaldehydes in One Pot</v>
      </c>
      <c r="U72" s="13" t="s">
        <v>692</v>
      </c>
      <c r="V72" t="str">
        <f t="shared" si="21"/>
        <v>jo5c00246</v>
      </c>
      <c r="W72" t="str">
        <f t="shared" si="22"/>
        <v>jo5c00246_si_002.zip</v>
      </c>
      <c r="X72" t="str">
        <f t="shared" si="23"/>
        <v>https://acs.figshare.com/articles/dataset/In_Situ_Generation_and_3_2_Annulation_Reactions_of_Propiolaldehyde_A_Metal-Free_Cascade_Route_to_Pyrazole_and_Bipyrazole_Carboxaldehydes_in_One_Pot/28950839</v>
      </c>
      <c r="Y72" s="1" t="str">
        <f t="shared" si="27"/>
        <v>--localSource c:/temp/acs2/data --targetDir c:/temp/acs2/$DOI$ --noDownload --readOnly  --pubDOI https://doi.org/10.1021/acs.joc.5c00246 --dataDOI "10.1021/acs.joc.5c00246https://acs.figshare.com/articles/dataset/In_Situ_Generation_and_3_2_Annulation_Reactions_of_Propiolaldehyde_A_Metal-Free_Cascade_Route_to_Pyrazole_and_Bipyrazole_Carboxaldehydes_in_One_Pot/28950839"</v>
      </c>
      <c r="Z72" t="str">
        <f t="shared" si="24"/>
        <v>&lt;br&gt;&lt;a href="https://doi.org/10.1021/acs.joc.5c00246.s002"&gt;https://doi.org/10.1021/acs.joc.5c00246.s002&lt;/a&gt;</v>
      </c>
      <c r="AA72" t="str">
        <f t="shared" si="25"/>
        <v/>
      </c>
    </row>
    <row r="73" spans="1:27" x14ac:dyDescent="0.35">
      <c r="A73">
        <v>72</v>
      </c>
      <c r="B73" s="5" t="str">
        <f t="shared" si="14"/>
        <v>jo5c00270</v>
      </c>
      <c r="C73" s="1" t="str">
        <f t="shared" si="15"/>
        <v>jo5c00270</v>
      </c>
      <c r="D73">
        <f>IF(F73=1,"",IF(AND(D72="",S72=S73),"",S73-SUM(F$2:F72)))</f>
        <v>49</v>
      </c>
      <c r="E73" t="str">
        <f t="shared" si="16"/>
        <v>0</v>
      </c>
      <c r="F73">
        <v>0</v>
      </c>
      <c r="H73">
        <v>82</v>
      </c>
      <c r="I73">
        <v>88</v>
      </c>
      <c r="J73">
        <v>2</v>
      </c>
      <c r="M73" t="str">
        <f t="shared" si="17"/>
        <v>/*49 jo5c00270 */"https://doi.org/10.1021/acs.joc.5c00270.s002",//3,3-Bis(hydroxyaryl)oxindoles and Spirooxindoles Bearing a Xanthene Moiety: Synthesis, Mechanism, and Biological Activity</v>
      </c>
      <c r="N73" t="e">
        <f t="shared" si="18"/>
        <v>#N/A</v>
      </c>
      <c r="O73" t="b">
        <f t="shared" si="19"/>
        <v>0</v>
      </c>
      <c r="P73" s="13" t="s">
        <v>699</v>
      </c>
      <c r="Q73" s="13" t="s">
        <v>700</v>
      </c>
      <c r="R73" t="str">
        <f t="shared" si="20"/>
        <v>002</v>
      </c>
      <c r="S73">
        <f t="shared" si="26"/>
        <v>56</v>
      </c>
      <c r="T73" s="13" t="str">
        <f>VLOOKUP(Q73,original!B:C,2,FALSE)</f>
        <v>3,3-Bis(hydroxyaryl)oxindoles and Spirooxindoles Bearing a Xanthene Moiety: Synthesis, Mechanism, and Biological Activity</v>
      </c>
      <c r="U73" s="13" t="s">
        <v>702</v>
      </c>
      <c r="V73" t="str">
        <f t="shared" si="21"/>
        <v>jo5c00270</v>
      </c>
      <c r="W73" t="str">
        <f t="shared" si="22"/>
        <v>jo5c00270_si_002.zip</v>
      </c>
      <c r="X73" t="str">
        <f t="shared" si="23"/>
        <v>https://acs.figshare.com/articles/dataset/3_3-Bis_hydroxyaryl_oxindoles_and_Spirooxindoles_Bearing_a_Xanthene_Moiety_Synthesis_Mechanism_and_Biological_Activity/28945099</v>
      </c>
      <c r="Y73" s="1" t="str">
        <f t="shared" si="27"/>
        <v>--localSource c:/temp/acs2/data --targetDir c:/temp/acs2/$DOI$ --noDownload --readOnly  --pubDOI https://doi.org/10.1021/acs.joc.5c00270 --dataDOI "10.1021/acs.joc.5c00270https://acs.figshare.com/articles/dataset/3_3-Bis_hydroxyaryl_oxindoles_and_Spirooxindoles_Bearing_a_Xanthene_Moiety_Synthesis_Mechanism_and_Biological_Activity/28945099"</v>
      </c>
      <c r="Z73" t="str">
        <f t="shared" si="24"/>
        <v>&lt;br&gt;&lt;a href="https://doi.org/10.1021/acs.joc.5c00270.s002"&gt;https://doi.org/10.1021/acs.joc.5c00270.s002&lt;/a&gt;</v>
      </c>
      <c r="AA73" t="str">
        <f t="shared" si="25"/>
        <v/>
      </c>
    </row>
    <row r="74" spans="1:27" x14ac:dyDescent="0.35">
      <c r="A74">
        <v>73</v>
      </c>
      <c r="B74" s="5" t="str">
        <f t="shared" si="14"/>
        <v>jo5c00284</v>
      </c>
      <c r="C74" s="1" t="str">
        <f t="shared" si="15"/>
        <v/>
      </c>
      <c r="D74" t="str">
        <f>IF(F74=1,"",IF(AND(D73="",S73=S74),"",S74-SUM(F$2:F73)))</f>
        <v/>
      </c>
      <c r="E74" t="str">
        <f t="shared" si="16"/>
        <v>0</v>
      </c>
      <c r="F74">
        <v>1</v>
      </c>
      <c r="G74" t="s">
        <v>2288</v>
      </c>
      <c r="M74" t="str">
        <f t="shared" si="17"/>
        <v/>
      </c>
      <c r="N74" t="e">
        <f t="shared" si="18"/>
        <v>#N/A</v>
      </c>
      <c r="O74" t="b">
        <f t="shared" si="19"/>
        <v>0</v>
      </c>
      <c r="P74" s="13" t="s">
        <v>650</v>
      </c>
      <c r="Q74" s="13" t="s">
        <v>651</v>
      </c>
      <c r="R74" t="str">
        <f t="shared" si="20"/>
        <v>003</v>
      </c>
      <c r="S74">
        <f t="shared" si="26"/>
        <v>57</v>
      </c>
      <c r="T74" s="13" t="str">
        <f>VLOOKUP(Q74,original!B:C,2,FALSE)</f>
        <v>Deconstruction of Desacetamidocolchicine’s B Ring Reveals a Class 3 Atropisomeric AC Ring with Tubulin Binding Properties</v>
      </c>
      <c r="U74" s="13" t="s">
        <v>649</v>
      </c>
      <c r="V74" t="str">
        <f t="shared" si="21"/>
        <v>jo5c00284</v>
      </c>
      <c r="W74" t="str">
        <f t="shared" si="22"/>
        <v>jo5c00284_si_003.zip</v>
      </c>
      <c r="X74" t="str">
        <f t="shared" si="23"/>
        <v>https://acs.figshare.com/articles/dataset/Deconstruction_of_Desacetamidocolchicine_s_B_Ring_Reveals_a_Class_3_Atropisomeric_AC_Ring_with_Tubulin_Binding_Properties/29154932</v>
      </c>
      <c r="Y74" s="1" t="str">
        <f t="shared" si="27"/>
        <v/>
      </c>
      <c r="Z74" t="str">
        <f t="shared" si="24"/>
        <v>&lt;br&gt;&lt;a href="https://doi.org/10.1021/acs.joc.5c00284.s003"&gt;https://doi.org/10.1021/acs.joc.5c00284.s003&lt;/a&gt;</v>
      </c>
      <c r="AA74" t="str">
        <f t="shared" si="25"/>
        <v/>
      </c>
    </row>
    <row r="75" spans="1:27" x14ac:dyDescent="0.35">
      <c r="A75">
        <v>74</v>
      </c>
      <c r="B75" s="5" t="str">
        <f t="shared" si="14"/>
        <v>jo5c00284</v>
      </c>
      <c r="C75" s="1" t="str">
        <f t="shared" si="15"/>
        <v xml:space="preserve">#jo5c00284 </v>
      </c>
      <c r="D75" t="str">
        <f>IF(F75=1,"",IF(AND(D74="",S74=S75),"",S75-SUM(F$2:F74)))</f>
        <v/>
      </c>
      <c r="E75" t="str">
        <f t="shared" si="16"/>
        <v>1</v>
      </c>
      <c r="F75">
        <v>0</v>
      </c>
      <c r="H75">
        <v>0</v>
      </c>
      <c r="I75">
        <v>0</v>
      </c>
      <c r="M75" t="str">
        <f t="shared" si="17"/>
        <v/>
      </c>
      <c r="N75" t="e">
        <f t="shared" si="18"/>
        <v>#N/A</v>
      </c>
      <c r="O75" t="b">
        <f t="shared" si="19"/>
        <v>0</v>
      </c>
      <c r="P75" s="13" t="s">
        <v>647</v>
      </c>
      <c r="Q75" s="13" t="s">
        <v>648</v>
      </c>
      <c r="R75" t="str">
        <f t="shared" si="20"/>
        <v>004</v>
      </c>
      <c r="S75">
        <f t="shared" si="26"/>
        <v>57</v>
      </c>
      <c r="T75" s="13" t="str">
        <f>VLOOKUP(Q75,original!B:C,2,FALSE)</f>
        <v>Deconstruction of Desacetamidocolchicine’s B Ring Reveals a Class 3 Atropisomeric AC Ring with Tubulin Binding Properties</v>
      </c>
      <c r="U75" s="13" t="s">
        <v>649</v>
      </c>
      <c r="V75" t="str">
        <f t="shared" si="21"/>
        <v>jo5c00284</v>
      </c>
      <c r="W75" t="str">
        <f t="shared" si="22"/>
        <v>jo5c00284_si_004.zip</v>
      </c>
      <c r="X75" t="str">
        <f t="shared" si="23"/>
        <v>https://acs.figshare.com/articles/dataset/Deconstruction_of_Desacetamidocolchicine_s_B_Ring_Reveals_a_Class_3_Atropisomeric_AC_Ring_with_Tubulin_Binding_Properties/29154932\thttps://acs.figshare.com/articles/dataset/Deconstruction_of_Desacetamidocolchicine_s_B_Ring_Reveals_a_Class_3_Atropisomeric_AC_Ring_with_Tubulin_Binding_Properties/29154935</v>
      </c>
      <c r="Y75" s="1" t="str">
        <f t="shared" si="27"/>
        <v>--localSource c:/temp/acs2/data --targetDir c:/temp/acs2/$DOI$ --noDownload --readOnly  --pubDOI https://doi.org/10.1021/acs.joc.5c00284 --dataDOI "10.1021/acs.joc.5c00284https://acs.figshare.com/articles/dataset/Deconstruction_of_Desacetamidocolchicine_s_B_Ring_Reveals_a_Class_3_Atropisomeric_AC_Ring_with_Tubulin_Binding_Properties/29154932\thttps://acs.figshare.com/articles/dataset/Deconstruction_of_Desacetamidocolchicine_s_B_Ring_Reveals_a_Class_3_Atropisomeric_AC_Ring_with_Tubulin_Binding_Properties/29154935"</v>
      </c>
      <c r="Z75" t="str">
        <f t="shared" si="24"/>
        <v>&lt;br&gt;&lt;a href="https://doi.org/10.1021/acs.joc.5c00284.s004"&gt;https://doi.org/10.1021/acs.joc.5c00284.s004&lt;/a&gt;</v>
      </c>
      <c r="AA75" t="str">
        <f t="shared" si="25"/>
        <v/>
      </c>
    </row>
    <row r="76" spans="1:27" x14ac:dyDescent="0.35">
      <c r="A76">
        <v>75</v>
      </c>
      <c r="B76" s="5" t="str">
        <f t="shared" si="14"/>
        <v>jo5c00316</v>
      </c>
      <c r="C76" s="1" t="str">
        <f t="shared" si="15"/>
        <v>jo5c00316</v>
      </c>
      <c r="D76">
        <f>IF(F76=1,"",IF(AND(D75="",S75=S76),"",S76-SUM(F$2:F75)))</f>
        <v>50</v>
      </c>
      <c r="E76" t="str">
        <f t="shared" si="16"/>
        <v>0</v>
      </c>
      <c r="F76">
        <v>0</v>
      </c>
      <c r="H76">
        <v>45</v>
      </c>
      <c r="I76">
        <v>97</v>
      </c>
      <c r="M76" t="str">
        <f t="shared" si="17"/>
        <v>/*50 jo5c00316 */"https://doi.org/10.1021/acs.joc.5c00316.s002",//Base-Assisted and Silica Gel-Promoted Indole-Substituted Indene Synthesis</v>
      </c>
      <c r="N76" t="e">
        <f t="shared" si="18"/>
        <v>#N/A</v>
      </c>
      <c r="O76" t="b">
        <f t="shared" si="19"/>
        <v>0</v>
      </c>
      <c r="P76" s="13" t="s">
        <v>753</v>
      </c>
      <c r="Q76" s="13" t="s">
        <v>754</v>
      </c>
      <c r="R76" t="str">
        <f t="shared" si="20"/>
        <v>002</v>
      </c>
      <c r="S76">
        <f t="shared" si="26"/>
        <v>58</v>
      </c>
      <c r="T76" s="13" t="str">
        <f>VLOOKUP(Q76,original!B:C,2,FALSE)</f>
        <v>Base-Assisted and Silica Gel-Promoted Indole-Substituted Indene Synthesis</v>
      </c>
      <c r="U76" s="13" t="s">
        <v>756</v>
      </c>
      <c r="V76" t="str">
        <f t="shared" si="21"/>
        <v>jo5c00316</v>
      </c>
      <c r="W76" t="str">
        <f t="shared" si="22"/>
        <v>jo5c00316_si_002.zip</v>
      </c>
      <c r="X76" t="str">
        <f t="shared" si="23"/>
        <v>https://acs.figshare.com/articles/dataset/Base-Assisted_and_Silica_Gel-Promoted_Indole-Substituted_Indene_Synthesis/28711997</v>
      </c>
      <c r="Y76" s="1" t="str">
        <f t="shared" si="27"/>
        <v>--localSource c:/temp/acs2/data --targetDir c:/temp/acs2/$DOI$ --noDownload --readOnly  --pubDOI https://doi.org/10.1021/acs.joc.5c00316 --dataDOI "10.1021/acs.joc.5c00316https://acs.figshare.com/articles/dataset/Base-Assisted_and_Silica_Gel-Promoted_Indole-Substituted_Indene_Synthesis/28711997"</v>
      </c>
      <c r="Z76" t="str">
        <f t="shared" si="24"/>
        <v>&lt;br&gt;&lt;a href="https://doi.org/10.1021/acs.joc.5c00316.s002"&gt;https://doi.org/10.1021/acs.joc.5c00316.s002&lt;/a&gt;</v>
      </c>
      <c r="AA76" t="str">
        <f t="shared" si="25"/>
        <v/>
      </c>
    </row>
    <row r="77" spans="1:27" x14ac:dyDescent="0.35">
      <c r="A77">
        <v>76</v>
      </c>
      <c r="B77" s="5" t="str">
        <f t="shared" si="14"/>
        <v>jo5c00317</v>
      </c>
      <c r="C77" s="1" t="str">
        <f t="shared" si="15"/>
        <v/>
      </c>
      <c r="D77">
        <f>IF(F77=1,"",IF(AND(D76="",S76=S77),"",S77-SUM(F$2:F76)))</f>
        <v>51</v>
      </c>
      <c r="E77" t="str">
        <f t="shared" si="16"/>
        <v>0</v>
      </c>
      <c r="F77">
        <v>0</v>
      </c>
      <c r="M77" t="str">
        <f t="shared" si="17"/>
        <v>/*51 jo5c00317 */"https://doi.org/10.1021/acs.joc.5c00317.s002",//Construction of the Tetracyclic Skeleton of Polycyclic Norcembranoids Sinudenoids B–D Via Ireland-Claisen Rearrangement</v>
      </c>
      <c r="N77" t="e">
        <f t="shared" si="18"/>
        <v>#N/A</v>
      </c>
      <c r="O77" t="b">
        <f t="shared" si="19"/>
        <v>0</v>
      </c>
      <c r="P77" s="13" t="s">
        <v>805</v>
      </c>
      <c r="Q77" s="13" t="s">
        <v>806</v>
      </c>
      <c r="R77" t="str">
        <f t="shared" si="20"/>
        <v>002</v>
      </c>
      <c r="S77">
        <f t="shared" si="26"/>
        <v>59</v>
      </c>
      <c r="T77" s="13" t="str">
        <f>VLOOKUP(Q77,original!B:C,2,FALSE)</f>
        <v>Construction of the Tetracyclic Skeleton of Polycyclic Norcembranoids Sinudenoids B–D Via Ireland-Claisen Rearrangement</v>
      </c>
      <c r="U77" s="13" t="s">
        <v>802</v>
      </c>
      <c r="V77" t="str">
        <f t="shared" si="21"/>
        <v>jo5c00317</v>
      </c>
      <c r="W77" t="str">
        <f t="shared" si="22"/>
        <v>jo5c00317_si_002.zip</v>
      </c>
      <c r="X77" t="str">
        <f t="shared" si="23"/>
        <v>https://acs.figshare.com/articles/dataset/Construction_of_the_Tetracyclic_Skeleton_of_Polycyclic_Norcembranoids_Sinudenoids_B_D_Via_Ireland-Claisen_Rearrangement/28633720</v>
      </c>
      <c r="Y77" s="1" t="str">
        <f t="shared" si="27"/>
        <v/>
      </c>
      <c r="Z77" t="str">
        <f t="shared" si="24"/>
        <v>&lt;br&gt;&lt;a href="https://doi.org/10.1021/acs.joc.5c00317.s002"&gt;https://doi.org/10.1021/acs.joc.5c00317.s002&lt;/a&gt;</v>
      </c>
      <c r="AA77" t="str">
        <f t="shared" si="25"/>
        <v/>
      </c>
    </row>
    <row r="78" spans="1:27" x14ac:dyDescent="0.35">
      <c r="A78">
        <v>77</v>
      </c>
      <c r="B78" s="5" t="str">
        <f t="shared" si="14"/>
        <v>jo5c00317</v>
      </c>
      <c r="C78" s="1" t="str">
        <f t="shared" si="15"/>
        <v/>
      </c>
      <c r="D78">
        <f>IF(F78=1,"",IF(AND(D77="",S77=S78),"",S78-SUM(F$2:F77)))</f>
        <v>51</v>
      </c>
      <c r="E78" t="str">
        <f t="shared" si="16"/>
        <v>1</v>
      </c>
      <c r="F78">
        <v>0</v>
      </c>
      <c r="M78" t="str">
        <f t="shared" si="17"/>
        <v>/*51 jo5c00317 */"https://doi.org/10.1021/acs.joc.5c00317.s003",//Construction of the Tetracyclic Skeleton of Polycyclic Norcembranoids Sinudenoids B–D Via Ireland-Claisen Rearrangement</v>
      </c>
      <c r="N78" t="e">
        <f t="shared" si="18"/>
        <v>#N/A</v>
      </c>
      <c r="O78" t="b">
        <f t="shared" si="19"/>
        <v>0</v>
      </c>
      <c r="P78" s="13" t="s">
        <v>803</v>
      </c>
      <c r="Q78" s="13" t="s">
        <v>804</v>
      </c>
      <c r="R78" t="str">
        <f t="shared" si="20"/>
        <v>003</v>
      </c>
      <c r="S78">
        <f t="shared" si="26"/>
        <v>59</v>
      </c>
      <c r="T78" s="13" t="str">
        <f>VLOOKUP(Q78,original!B:C,2,FALSE)</f>
        <v>Construction of the Tetracyclic Skeleton of Polycyclic Norcembranoids Sinudenoids B–D Via Ireland-Claisen Rearrangement</v>
      </c>
      <c r="U78" s="13" t="s">
        <v>802</v>
      </c>
      <c r="V78" t="str">
        <f t="shared" si="21"/>
        <v>jo5c00317</v>
      </c>
      <c r="W78" t="str">
        <f t="shared" si="22"/>
        <v>jo5c00317_si_003.zip</v>
      </c>
      <c r="X78" t="str">
        <f t="shared" si="23"/>
        <v>https://acs.figshare.com/articles/dataset/Construction_of_the_Tetracyclic_Skeleton_of_Polycyclic_Norcembranoids_Sinudenoids_B_D_Via_Ireland-Claisen_Rearrangement/28633720\thttps://acs.figshare.com/articles/dataset/Construction_of_the_Tetracyclic_Skeleton_of_Polycyclic_Norcembranoids_Sinudenoids_B_D_Via_Ireland-Claisen_Rearrangement/28633723</v>
      </c>
      <c r="Y78" s="1" t="str">
        <f t="shared" si="27"/>
        <v/>
      </c>
      <c r="Z78" t="str">
        <f t="shared" si="24"/>
        <v>&lt;br&gt;&lt;a href="https://doi.org/10.1021/acs.joc.5c00317.s003"&gt;https://doi.org/10.1021/acs.joc.5c00317.s003&lt;/a&gt;</v>
      </c>
      <c r="AA78" t="str">
        <f t="shared" si="25"/>
        <v/>
      </c>
    </row>
    <row r="79" spans="1:27" x14ac:dyDescent="0.35">
      <c r="A79">
        <v>78</v>
      </c>
      <c r="B79" s="5" t="str">
        <f t="shared" si="14"/>
        <v>jo5c00317</v>
      </c>
      <c r="C79" s="1" t="str">
        <f t="shared" si="15"/>
        <v>jo5c00317</v>
      </c>
      <c r="D79">
        <f>IF(F79=1,"",IF(AND(D78="",S78=S79),"",S79-SUM(F$2:F78)))</f>
        <v>51</v>
      </c>
      <c r="E79" t="str">
        <f t="shared" si="16"/>
        <v>1</v>
      </c>
      <c r="F79">
        <v>0</v>
      </c>
      <c r="H79">
        <v>14</v>
      </c>
      <c r="I79">
        <v>28</v>
      </c>
      <c r="M79" t="str">
        <f t="shared" si="17"/>
        <v>/*51 jo5c00317 */"https://doi.org/10.1021/acs.joc.5c00317.s004",//Construction of the Tetracyclic Skeleton of Polycyclic Norcembranoids Sinudenoids B–D Via Ireland-Claisen Rearrangement</v>
      </c>
      <c r="N79" t="e">
        <f t="shared" si="18"/>
        <v>#N/A</v>
      </c>
      <c r="O79" t="b">
        <f t="shared" si="19"/>
        <v>0</v>
      </c>
      <c r="P79" s="13" t="s">
        <v>800</v>
      </c>
      <c r="Q79" s="13" t="s">
        <v>801</v>
      </c>
      <c r="R79" t="str">
        <f t="shared" si="20"/>
        <v>004</v>
      </c>
      <c r="S79">
        <f t="shared" si="26"/>
        <v>59</v>
      </c>
      <c r="T79" s="13" t="str">
        <f>VLOOKUP(Q79,original!B:C,2,FALSE)</f>
        <v>Construction of the Tetracyclic Skeleton of Polycyclic Norcembranoids Sinudenoids B–D Via Ireland-Claisen Rearrangement</v>
      </c>
      <c r="U79" s="13" t="s">
        <v>802</v>
      </c>
      <c r="V79" t="str">
        <f t="shared" si="21"/>
        <v>jo5c00317</v>
      </c>
      <c r="W79" t="str">
        <f t="shared" si="22"/>
        <v>jo5c00317_si_004.zip</v>
      </c>
      <c r="X79" t="str">
        <f t="shared" si="23"/>
        <v>https://acs.figshare.com/articles/dataset/Construction_of_the_Tetracyclic_Skeleton_of_Polycyclic_Norcembranoids_Sinudenoids_B_D_Via_Ireland-Claisen_Rearrangement/28633720\thttps://acs.figshare.com/articles/dataset/Construction_of_the_Tetracyclic_Skeleton_of_Polycyclic_Norcembranoids_Sinudenoids_B_D_Via_Ireland-Claisen_Rearrangement/28633723\thttps://acs.figshare.com/articles/dataset/Construction_of_the_Tetracyclic_Skeleton_of_Polycyclic_Norcembranoids_Sinudenoids_B_D_Via_Ireland-Claisen_Rearrangement/28633726</v>
      </c>
      <c r="Y79" s="1" t="str">
        <f t="shared" si="27"/>
        <v>--localSource c:/temp/acs2/data --targetDir c:/temp/acs2/$DOI$ --noDownload --readOnly  --pubDOI https://doi.org/10.1021/acs.joc.5c00317 --dataDOI "10.1021/acs.joc.5c00317https://acs.figshare.com/articles/dataset/Construction_of_the_Tetracyclic_Skeleton_of_Polycyclic_Norcembranoids_Sinudenoids_B_D_Via_Ireland-Claisen_Rearrangement/28633720\thttps://acs.figshare.com/articles/dataset/Construction_of_the_Tetracyclic_Skeleton_of_Polycyclic_Norcembranoids_Sinudenoids_B_D_Via_Ireland-Claisen_Rearrangement/28633723\thttps://acs.figshare.com/articles/dataset/Construction_of_the_Tetracyclic_Skeleton_of_Polycyclic_Norcembranoids_Sinudenoids_B_D_Via_Ireland-Claisen_Rearrangement/28633726"</v>
      </c>
      <c r="Z79" t="str">
        <f t="shared" si="24"/>
        <v>&lt;br&gt;&lt;a href="https://doi.org/10.1021/acs.joc.5c00317.s004"&gt;https://doi.org/10.1021/acs.joc.5c00317.s004&lt;/a&gt;</v>
      </c>
      <c r="AA79" t="str">
        <f t="shared" si="25"/>
        <v/>
      </c>
    </row>
    <row r="80" spans="1:27" x14ac:dyDescent="0.35">
      <c r="A80">
        <v>79</v>
      </c>
      <c r="B80" s="5" t="str">
        <f t="shared" si="14"/>
        <v>jo5c00330</v>
      </c>
      <c r="C80" s="1" t="str">
        <f t="shared" si="15"/>
        <v/>
      </c>
      <c r="D80">
        <f>IF(F80=1,"",IF(AND(D79="",S79=S80),"",S80-SUM(F$2:F79)))</f>
        <v>52</v>
      </c>
      <c r="E80" t="str">
        <f t="shared" si="16"/>
        <v>0</v>
      </c>
      <c r="F80">
        <v>0</v>
      </c>
      <c r="M80" t="str">
        <f t="shared" si="17"/>
        <v>/*52 jo5c00330 */"https://doi.org/10.1021/acs.joc.5c00330.s002",//Synthesis of 3,6-Dihydro‑2H‑thiopyrans from α‑Diazo-β-diketones and Vinylthiiranes via [5 + 1] Annulation</v>
      </c>
      <c r="N80" t="e">
        <f t="shared" si="18"/>
        <v>#N/A</v>
      </c>
      <c r="O80" t="b">
        <f t="shared" si="19"/>
        <v>0</v>
      </c>
      <c r="P80" s="13" t="s">
        <v>675</v>
      </c>
      <c r="Q80" s="13" t="s">
        <v>676</v>
      </c>
      <c r="R80" t="str">
        <f t="shared" si="20"/>
        <v>002</v>
      </c>
      <c r="S80">
        <f t="shared" si="26"/>
        <v>60</v>
      </c>
      <c r="T80" s="13" t="str">
        <f>VLOOKUP(Q80,original!B:C,2,FALSE)</f>
        <v>Synthesis of 3,6-Dihydro‑2H‑thiopyrans from α‑Diazo-β-diketones and Vinylthiiranes via [5 + 1] Annulation</v>
      </c>
      <c r="U80" s="13" t="s">
        <v>674</v>
      </c>
      <c r="V80" t="str">
        <f t="shared" si="21"/>
        <v>jo5c00330</v>
      </c>
      <c r="W80" t="str">
        <f t="shared" si="22"/>
        <v>jo5c00330_si_002.zip</v>
      </c>
      <c r="X80" t="str">
        <f t="shared" si="23"/>
        <v>https://acs.figshare.com/articles/dataset/Synthesis_of_3_6-Dihydro_2_i_H_i_thiopyrans_from_Diazo-_-diketones_and_Vinylthiiranes_via_5_1_Annulation/29092847</v>
      </c>
      <c r="Y80" s="1" t="str">
        <f t="shared" si="27"/>
        <v/>
      </c>
      <c r="Z80" t="str">
        <f t="shared" si="24"/>
        <v>&lt;br&gt;&lt;a href="https://doi.org/10.1021/acs.joc.5c00330.s002"&gt;https://doi.org/10.1021/acs.joc.5c00330.s002&lt;/a&gt;</v>
      </c>
      <c r="AA80" t="str">
        <f t="shared" si="25"/>
        <v/>
      </c>
    </row>
    <row r="81" spans="1:27" x14ac:dyDescent="0.35">
      <c r="A81">
        <v>80</v>
      </c>
      <c r="B81" s="5" t="str">
        <f t="shared" si="14"/>
        <v>jo5c00330</v>
      </c>
      <c r="C81" s="1" t="str">
        <f t="shared" si="15"/>
        <v>jo5c00330</v>
      </c>
      <c r="D81">
        <f>IF(F81=1,"",IF(AND(D80="",S80=S81),"",S81-SUM(F$2:F80)))</f>
        <v>52</v>
      </c>
      <c r="E81" t="str">
        <f t="shared" si="16"/>
        <v>1</v>
      </c>
      <c r="F81">
        <v>0</v>
      </c>
      <c r="H81">
        <v>38</v>
      </c>
      <c r="I81">
        <v>88</v>
      </c>
      <c r="J81">
        <v>38</v>
      </c>
      <c r="M81" t="str">
        <f t="shared" si="17"/>
        <v>/*52 jo5c00330 */"https://doi.org/10.1021/acs.joc.5c00330.s003",//Synthesis of 3,6-Dihydro‑2H‑thiopyrans from α‑Diazo-β-diketones and Vinylthiiranes via [5 + 1] Annulation</v>
      </c>
      <c r="N81" t="e">
        <f t="shared" si="18"/>
        <v>#N/A</v>
      </c>
      <c r="O81" t="b">
        <f t="shared" si="19"/>
        <v>0</v>
      </c>
      <c r="P81" s="13" t="s">
        <v>672</v>
      </c>
      <c r="Q81" s="13" t="s">
        <v>673</v>
      </c>
      <c r="R81" t="str">
        <f t="shared" si="20"/>
        <v>003</v>
      </c>
      <c r="S81">
        <f t="shared" si="26"/>
        <v>60</v>
      </c>
      <c r="T81" s="13" t="str">
        <f>VLOOKUP(Q81,original!B:C,2,FALSE)</f>
        <v>Synthesis of 3,6-Dihydro‑2H‑thiopyrans from α‑Diazo-β-diketones and Vinylthiiranes via [5 + 1] Annulation</v>
      </c>
      <c r="U81" s="13" t="s">
        <v>674</v>
      </c>
      <c r="V81" t="str">
        <f t="shared" si="21"/>
        <v>jo5c00330</v>
      </c>
      <c r="W81" t="str">
        <f t="shared" si="22"/>
        <v>jo5c00330_si_003.zip</v>
      </c>
      <c r="X81" t="str">
        <f t="shared" si="23"/>
        <v>https://acs.figshare.com/articles/dataset/Synthesis_of_3_6-Dihydro_2_i_H_i_thiopyrans_from_Diazo-_-diketones_and_Vinylthiiranes_via_5_1_Annulation/29092847\thttps://acs.figshare.com/articles/dataset/Synthesis_of_3_6-Dihydro_2_i_H_i_thiopyrans_from_Diazo-_-diketones_and_Vinylthiiranes_via_5_1_Annulation/29092850</v>
      </c>
      <c r="Y81" s="1" t="str">
        <f t="shared" si="27"/>
        <v>--localSource c:/temp/acs2/data --targetDir c:/temp/acs2/$DOI$ --noDownload --readOnly  --pubDOI https://doi.org/10.1021/acs.joc.5c00330 --dataDOI "10.1021/acs.joc.5c00330https://acs.figshare.com/articles/dataset/Synthesis_of_3_6-Dihydro_2_i_H_i_thiopyrans_from_Diazo-_-diketones_and_Vinylthiiranes_via_5_1_Annulation/29092847\thttps://acs.figshare.com/articles/dataset/Synthesis_of_3_6-Dihydro_2_i_H_i_thiopyrans_from_Diazo-_-diketones_and_Vinylthiiranes_via_5_1_Annulation/29092850"</v>
      </c>
      <c r="Z81" t="str">
        <f t="shared" si="24"/>
        <v>&lt;br&gt;&lt;a href="https://doi.org/10.1021/acs.joc.5c00330.s003"&gt;https://doi.org/10.1021/acs.joc.5c00330.s003&lt;/a&gt;</v>
      </c>
      <c r="AA81" t="str">
        <f t="shared" si="25"/>
        <v/>
      </c>
    </row>
    <row r="82" spans="1:27" x14ac:dyDescent="0.35">
      <c r="A82">
        <v>81</v>
      </c>
      <c r="B82" s="5" t="str">
        <f t="shared" si="14"/>
        <v>jo5c00353</v>
      </c>
      <c r="C82" s="1" t="str">
        <f t="shared" si="15"/>
        <v/>
      </c>
      <c r="D82" t="str">
        <f>IF(F82=1,"",IF(AND(D81="",S81=S82),"",S82-SUM(F$2:F81)))</f>
        <v/>
      </c>
      <c r="E82" t="str">
        <f t="shared" si="16"/>
        <v>0</v>
      </c>
      <c r="F82">
        <v>1</v>
      </c>
      <c r="G82" t="s">
        <v>1099</v>
      </c>
      <c r="M82" t="str">
        <f t="shared" si="17"/>
        <v/>
      </c>
      <c r="N82" t="e">
        <f t="shared" si="18"/>
        <v>#N/A</v>
      </c>
      <c r="O82" t="b">
        <f t="shared" si="19"/>
        <v>0</v>
      </c>
      <c r="P82" s="13" t="s">
        <v>663</v>
      </c>
      <c r="Q82" s="13" t="s">
        <v>664</v>
      </c>
      <c r="R82" t="str">
        <f t="shared" si="20"/>
        <v>002</v>
      </c>
      <c r="S82">
        <f t="shared" si="26"/>
        <v>61</v>
      </c>
      <c r="T82" s="13" t="str">
        <f>VLOOKUP(Q82,original!B:C,2,FALSE)</f>
        <v>Examining Kinetics and Product Inhibition in the Catalytic Intramolecular Schmidt Reaction</v>
      </c>
      <c r="U82" s="13" t="s">
        <v>662</v>
      </c>
      <c r="V82" t="str">
        <f t="shared" si="21"/>
        <v>jo5c00353</v>
      </c>
      <c r="W82" t="str">
        <f t="shared" si="22"/>
        <v>jo5c00353_si_002.zip</v>
      </c>
      <c r="X82" t="str">
        <f t="shared" si="23"/>
        <v>https://acs.figshare.com/articles/dataset/Examining_Kinetics_and_Product_Inhibition_in_the_Catalytic_Intramolecular_Schmidt_Reaction/29119801</v>
      </c>
      <c r="Y82" s="1" t="str">
        <f t="shared" si="27"/>
        <v/>
      </c>
      <c r="Z82" t="str">
        <f t="shared" si="24"/>
        <v>&lt;br&gt;&lt;a href="https://doi.org/10.1021/acs.joc.5c00353.s002"&gt;https://doi.org/10.1021/acs.joc.5c00353.s002&lt;/a&gt;</v>
      </c>
      <c r="AA82" t="str">
        <f t="shared" si="25"/>
        <v/>
      </c>
    </row>
    <row r="83" spans="1:27" x14ac:dyDescent="0.35">
      <c r="A83">
        <v>82</v>
      </c>
      <c r="B83" s="5" t="str">
        <f t="shared" si="14"/>
        <v>jo5c00353</v>
      </c>
      <c r="C83" s="1" t="str">
        <f t="shared" si="15"/>
        <v xml:space="preserve">#jo5c00353 </v>
      </c>
      <c r="D83" t="str">
        <f>IF(F83=1,"",IF(AND(D82="",S82=S83),"",S83-SUM(F$2:F82)))</f>
        <v/>
      </c>
      <c r="E83" t="str">
        <f t="shared" si="16"/>
        <v>1</v>
      </c>
      <c r="F83">
        <v>0</v>
      </c>
      <c r="M83" t="str">
        <f t="shared" si="17"/>
        <v/>
      </c>
      <c r="N83" t="e">
        <f t="shared" si="18"/>
        <v>#N/A</v>
      </c>
      <c r="O83" t="b">
        <f t="shared" si="19"/>
        <v>0</v>
      </c>
      <c r="P83" s="13" t="s">
        <v>659</v>
      </c>
      <c r="Q83" s="13" t="s">
        <v>660</v>
      </c>
      <c r="R83" t="str">
        <f t="shared" si="20"/>
        <v>003</v>
      </c>
      <c r="S83">
        <f t="shared" si="26"/>
        <v>61</v>
      </c>
      <c r="T83" s="13" t="str">
        <f>VLOOKUP(Q83,original!B:C,2,FALSE)</f>
        <v>Examining Kinetics and Product Inhibition in the Catalytic Intramolecular Schmidt Reaction</v>
      </c>
      <c r="U83" s="13" t="s">
        <v>662</v>
      </c>
      <c r="V83" t="str">
        <f t="shared" si="21"/>
        <v>jo5c00353</v>
      </c>
      <c r="W83" t="str">
        <f t="shared" si="22"/>
        <v>jo5c00353_si_003.zip</v>
      </c>
      <c r="X83" t="str">
        <f t="shared" si="23"/>
        <v>https://acs.figshare.com/articles/dataset/Examining_Kinetics_and_Product_Inhibition_in_the_Catalytic_Intramolecular_Schmidt_Reaction/29119801\thttps://acs.figshare.com/articles/dataset/Examining_Kinetics_and_Product_Inhibition_in_the_Catalytic_Intramolecular_Schmidt_Reaction/29119804</v>
      </c>
      <c r="Y83" s="1" t="str">
        <f t="shared" si="27"/>
        <v>--localSource c:/temp/acs2/data --targetDir c:/temp/acs2/$DOI$ --noDownload --readOnly  --pubDOI https://doi.org/10.1021/acs.joc.5c00353 --dataDOI "10.1021/acs.joc.5c00353https://acs.figshare.com/articles/dataset/Examining_Kinetics_and_Product_Inhibition_in_the_Catalytic_Intramolecular_Schmidt_Reaction/29119801\thttps://acs.figshare.com/articles/dataset/Examining_Kinetics_and_Product_Inhibition_in_the_Catalytic_Intramolecular_Schmidt_Reaction/29119804"</v>
      </c>
      <c r="Z83" t="str">
        <f t="shared" si="24"/>
        <v>&lt;br&gt;&lt;a href="https://doi.org/10.1021/acs.joc.5c00353.s003"&gt;https://doi.org/10.1021/acs.joc.5c00353.s003&lt;/a&gt;</v>
      </c>
      <c r="AA83" t="str">
        <f t="shared" si="25"/>
        <v/>
      </c>
    </row>
    <row r="84" spans="1:27" x14ac:dyDescent="0.35">
      <c r="A84">
        <v>83</v>
      </c>
      <c r="B84" s="5" t="str">
        <f t="shared" si="14"/>
        <v>jo5c00369</v>
      </c>
      <c r="C84" s="1" t="str">
        <f t="shared" si="15"/>
        <v>jo5c00369</v>
      </c>
      <c r="D84">
        <f>IF(F84=1,"",IF(AND(D83="",S83=S84),"",S84-SUM(F$2:F83)))</f>
        <v>53</v>
      </c>
      <c r="E84" t="str">
        <f t="shared" si="16"/>
        <v>0</v>
      </c>
      <c r="F84">
        <v>0</v>
      </c>
      <c r="H84">
        <v>12</v>
      </c>
      <c r="I84">
        <v>15</v>
      </c>
      <c r="J84">
        <v>4</v>
      </c>
      <c r="M84" t="str">
        <f t="shared" si="17"/>
        <v>/*53 jo5c00369 */"https://doi.org/10.1021/acs.joc.5c00369.s002",//Phenyl Spacer Modulation of 2,5-Substituted D–A-Type Siloles for Efficient Nondoped OLEDs</v>
      </c>
      <c r="N84" t="e">
        <f t="shared" si="18"/>
        <v>#N/A</v>
      </c>
      <c r="O84" t="b">
        <f t="shared" si="19"/>
        <v>0</v>
      </c>
      <c r="P84" s="13" t="s">
        <v>508</v>
      </c>
      <c r="Q84" s="13" t="s">
        <v>509</v>
      </c>
      <c r="R84" t="str">
        <f t="shared" si="20"/>
        <v>002</v>
      </c>
      <c r="S84">
        <f t="shared" si="26"/>
        <v>62</v>
      </c>
      <c r="T84" s="13" t="str">
        <f>VLOOKUP(Q84,original!B:C,2,FALSE)</f>
        <v>Phenyl Spacer Modulation of 2,5-Substituted D–A-Type Siloles for Efficient Nondoped OLEDs</v>
      </c>
      <c r="U84" s="13" t="s">
        <v>510</v>
      </c>
      <c r="V84" t="str">
        <f t="shared" si="21"/>
        <v>jo5c00369</v>
      </c>
      <c r="W84" t="str">
        <f t="shared" si="22"/>
        <v>jo5c00369_si_002.zip</v>
      </c>
      <c r="X84" t="str">
        <f t="shared" si="23"/>
        <v>https://acs.figshare.com/articles/dataset/Phenyl_Spacer_Modulation_of_2_5-Substituted_D_A-Type_Siloles_for_Efficient_Nondoped_OLEDs/29490752</v>
      </c>
      <c r="Y84" s="1" t="str">
        <f t="shared" si="27"/>
        <v>--localSource c:/temp/acs2/data --targetDir c:/temp/acs2/$DOI$ --noDownload --readOnly  --pubDOI https://doi.org/10.1021/acs.joc.5c00369 --dataDOI "10.1021/acs.joc.5c00369https://acs.figshare.com/articles/dataset/Phenyl_Spacer_Modulation_of_2_5-Substituted_D_A-Type_Siloles_for_Efficient_Nondoped_OLEDs/29490752"</v>
      </c>
      <c r="Z84" t="str">
        <f t="shared" si="24"/>
        <v>&lt;br&gt;&lt;a href="https://doi.org/10.1021/acs.joc.5c00369.s002"&gt;https://doi.org/10.1021/acs.joc.5c00369.s002&lt;/a&gt;</v>
      </c>
      <c r="AA84" t="str">
        <f t="shared" si="25"/>
        <v/>
      </c>
    </row>
    <row r="85" spans="1:27" x14ac:dyDescent="0.35">
      <c r="A85">
        <v>84</v>
      </c>
      <c r="B85" s="5" t="str">
        <f t="shared" si="14"/>
        <v>jo5c00389</v>
      </c>
      <c r="C85" s="1" t="str">
        <f t="shared" si="15"/>
        <v>jo5c00389</v>
      </c>
      <c r="D85">
        <f>IF(F85=1,"",IF(AND(D84="",S84=S85),"",S85-SUM(F$2:F84)))</f>
        <v>54</v>
      </c>
      <c r="E85" t="str">
        <f t="shared" si="16"/>
        <v>0</v>
      </c>
      <c r="F85">
        <v>0</v>
      </c>
      <c r="H85">
        <v>15</v>
      </c>
      <c r="I85">
        <v>36</v>
      </c>
      <c r="J85">
        <v>1</v>
      </c>
      <c r="M85" t="str">
        <f t="shared" si="17"/>
        <v>/*54 jo5c00389 */"https://doi.org/10.1021/acs.joc.5c00389.s002",//The Anthranil Core as a π‑Conjugated Bridge in the Synthesis of Molecular Photosensitizers</v>
      </c>
      <c r="N85" t="e">
        <f t="shared" si="18"/>
        <v>#N/A</v>
      </c>
      <c r="O85" t="b">
        <f t="shared" si="19"/>
        <v>0</v>
      </c>
      <c r="P85" s="13" t="s">
        <v>475</v>
      </c>
      <c r="Q85" s="13" t="s">
        <v>476</v>
      </c>
      <c r="R85" t="str">
        <f t="shared" si="20"/>
        <v>002</v>
      </c>
      <c r="S85">
        <f t="shared" si="26"/>
        <v>63</v>
      </c>
      <c r="T85" s="13" t="str">
        <f>VLOOKUP(Q85,original!B:C,2,FALSE)</f>
        <v>The Anthranil Core as a π‑Conjugated Bridge in the Synthesis of Molecular Photosensitizers</v>
      </c>
      <c r="U85" s="13" t="s">
        <v>477</v>
      </c>
      <c r="V85" t="str">
        <f t="shared" si="21"/>
        <v>jo5c00389</v>
      </c>
      <c r="W85" t="str">
        <f t="shared" si="22"/>
        <v>jo5c00389_si_002.zip</v>
      </c>
      <c r="X85" t="str">
        <f t="shared" si="23"/>
        <v>https://acs.figshare.com/articles/dataset/The_Anthranil_Core_as_a_Conjugated_Bridge_in_the_Synthesis_of_Molecular_Photosensitizers/29594321</v>
      </c>
      <c r="Y85" s="1" t="str">
        <f t="shared" si="27"/>
        <v>--localSource c:/temp/acs2/data --targetDir c:/temp/acs2/$DOI$ --noDownload --readOnly  --pubDOI https://doi.org/10.1021/acs.joc.5c00389 --dataDOI "10.1021/acs.joc.5c00389https://acs.figshare.com/articles/dataset/The_Anthranil_Core_as_a_Conjugated_Bridge_in_the_Synthesis_of_Molecular_Photosensitizers/29594321"</v>
      </c>
      <c r="Z85" t="str">
        <f t="shared" si="24"/>
        <v>&lt;br&gt;&lt;a href="https://doi.org/10.1021/acs.joc.5c00389.s002"&gt;https://doi.org/10.1021/acs.joc.5c00389.s002&lt;/a&gt;</v>
      </c>
      <c r="AA85" t="str">
        <f t="shared" si="25"/>
        <v/>
      </c>
    </row>
    <row r="86" spans="1:27" x14ac:dyDescent="0.35">
      <c r="A86">
        <v>85</v>
      </c>
      <c r="B86" s="5" t="str">
        <f t="shared" si="14"/>
        <v>jo5c00410</v>
      </c>
      <c r="C86" s="1" t="str">
        <f t="shared" si="15"/>
        <v xml:space="preserve">#jo5c00410 </v>
      </c>
      <c r="D86" t="str">
        <f>IF(F86=1,"",IF(AND(D85="",S85=S86),"",S86-SUM(F$2:F85)))</f>
        <v/>
      </c>
      <c r="E86" t="str">
        <f t="shared" si="16"/>
        <v>0</v>
      </c>
      <c r="F86">
        <v>1</v>
      </c>
      <c r="M86" t="str">
        <f t="shared" si="17"/>
        <v/>
      </c>
      <c r="N86" t="str">
        <f t="shared" si="18"/>
        <v>jo5c00410_si_002.xyz</v>
      </c>
      <c r="O86" t="b">
        <f t="shared" si="19"/>
        <v>1</v>
      </c>
      <c r="P86" s="13" t="s">
        <v>696</v>
      </c>
      <c r="Q86" s="13" t="s">
        <v>697</v>
      </c>
      <c r="R86" t="str">
        <f t="shared" si="20"/>
        <v>002</v>
      </c>
      <c r="S86">
        <f t="shared" si="26"/>
        <v>64</v>
      </c>
      <c r="T86" s="13" t="str">
        <f>VLOOKUP(Q86,original!B:C,2,FALSE)</f>
        <v>Factors Influencing the Product Selectivity of Rh2(OAc)4‑Catalyzed Reactions of Diazoketones with Aziridines</v>
      </c>
      <c r="U86" s="13" t="s">
        <v>698</v>
      </c>
      <c r="V86" t="str">
        <f t="shared" si="21"/>
        <v>jo5c00410</v>
      </c>
      <c r="W86" t="str">
        <f t="shared" si="22"/>
        <v>jo5c00410_si_002.zip</v>
      </c>
      <c r="X86" t="str">
        <f t="shared" si="23"/>
        <v>https://acs.figshare.com/articles/dataset/Factors_Influencing_the_Product_Selectivity_of_Rh_sub_2_sub_OAc_sub_4_sub_Catalyzed_Reactions_of_Diazoketones_with_Aziridines/28945120</v>
      </c>
      <c r="Y86" s="1" t="str">
        <f t="shared" si="27"/>
        <v>--localSource c:/temp/acs2/data --targetDir c:/temp/acs2/$DOI$ --noDownload --readOnly  --pubDOI https://doi.org/10.1021/acs.joc.5c00410 --dataDOI "10.1021/acs.joc.5c00410https://acs.figshare.com/articles/dataset/Factors_Influencing_the_Product_Selectivity_of_Rh_sub_2_sub_OAc_sub_4_sub_Catalyzed_Reactions_of_Diazoketones_with_Aziridines/28945120"</v>
      </c>
      <c r="Z86" t="str">
        <f t="shared" si="24"/>
        <v>&lt;br&gt;&lt;a href="https://doi.org/10.1021/acs.joc.5c00410.s002"&gt;https://doi.org/10.1021/acs.joc.5c00410.s002&lt;/a&gt;</v>
      </c>
      <c r="AA86" t="str">
        <f t="shared" si="25"/>
        <v/>
      </c>
    </row>
    <row r="87" spans="1:27" x14ac:dyDescent="0.35">
      <c r="A87">
        <v>86</v>
      </c>
      <c r="B87" s="5" t="str">
        <f t="shared" si="14"/>
        <v>jo5c00424</v>
      </c>
      <c r="C87" s="1" t="str">
        <f t="shared" si="15"/>
        <v>jo5c00424</v>
      </c>
      <c r="D87">
        <f>IF(F87=1,"",IF(AND(D86="",S86=S87),"",S87-SUM(F$2:F86)))</f>
        <v>55</v>
      </c>
      <c r="E87" t="str">
        <f t="shared" si="16"/>
        <v>0</v>
      </c>
      <c r="F87">
        <v>0</v>
      </c>
      <c r="H87">
        <v>33</v>
      </c>
      <c r="I87">
        <v>99</v>
      </c>
      <c r="M87" t="str">
        <f t="shared" si="17"/>
        <v>/*55 jo5c00424 */"https://doi.org/10.1021/acs.joc.5c00424.s002",//Visible-Light-Driven Tandem Cyclization of &lt;i&gt;o&lt;/i&gt;‑Hydroxyaryl Enaminones: Access to 3‑(α-Arylsulfonamido)trifluoroethyl Chromones</v>
      </c>
      <c r="N87" t="e">
        <f t="shared" si="18"/>
        <v>#N/A</v>
      </c>
      <c r="O87" t="b">
        <f t="shared" si="19"/>
        <v>0</v>
      </c>
      <c r="P87" s="13" t="s">
        <v>720</v>
      </c>
      <c r="Q87" s="13" t="s">
        <v>721</v>
      </c>
      <c r="R87" t="str">
        <f t="shared" si="20"/>
        <v>002</v>
      </c>
      <c r="S87">
        <f t="shared" si="26"/>
        <v>65</v>
      </c>
      <c r="T87" s="13" t="str">
        <f>VLOOKUP(Q87,original!B:C,2,FALSE)</f>
        <v>Visible-Light-Driven Tandem Cyclization of &lt;i&gt;o&lt;/i&gt;‑Hydroxyaryl Enaminones: Access to 3‑(α-Arylsulfonamido)trifluoroethyl Chromones</v>
      </c>
      <c r="U87" s="13" t="s">
        <v>722</v>
      </c>
      <c r="V87" t="str">
        <f t="shared" si="21"/>
        <v>jo5c00424</v>
      </c>
      <c r="W87" t="str">
        <f t="shared" si="22"/>
        <v>jo5c00424_si_002.zip</v>
      </c>
      <c r="X87" t="str">
        <f t="shared" si="23"/>
        <v>https://acs.figshare.com/articles/dataset/Visible-Light-Driven_Tandem_Cyclization_of_i_o_i_Hydroxyaryl_Enaminones_Access_to_3_-Arylsulfonamido_trifluoroethyl_Chromones/28840824</v>
      </c>
      <c r="Y87" s="1" t="str">
        <f t="shared" si="27"/>
        <v>--localSource c:/temp/acs2/data --targetDir c:/temp/acs2/$DOI$ --noDownload --readOnly  --pubDOI https://doi.org/10.1021/acs.joc.5c00424 --dataDOI "10.1021/acs.joc.5c00424https://acs.figshare.com/articles/dataset/Visible-Light-Driven_Tandem_Cyclization_of_i_o_i_Hydroxyaryl_Enaminones_Access_to_3_-Arylsulfonamido_trifluoroethyl_Chromones/28840824"</v>
      </c>
      <c r="Z87" t="str">
        <f t="shared" si="24"/>
        <v>&lt;br&gt;&lt;a href="https://doi.org/10.1021/acs.joc.5c00424.s002"&gt;https://doi.org/10.1021/acs.joc.5c00424.s002&lt;/a&gt;</v>
      </c>
      <c r="AA87" t="str">
        <f t="shared" si="25"/>
        <v/>
      </c>
    </row>
    <row r="88" spans="1:27" x14ac:dyDescent="0.35">
      <c r="A88">
        <v>87</v>
      </c>
      <c r="B88" s="5" t="str">
        <f t="shared" si="14"/>
        <v>jo5c00472</v>
      </c>
      <c r="C88" s="1" t="str">
        <f t="shared" si="15"/>
        <v>jo5c00472</v>
      </c>
      <c r="D88">
        <f>IF(F88=1,"",IF(AND(D87="",S87=S88),"",S88-SUM(F$2:F87)))</f>
        <v>56</v>
      </c>
      <c r="E88" t="str">
        <f t="shared" si="16"/>
        <v>0</v>
      </c>
      <c r="F88">
        <v>0</v>
      </c>
      <c r="H88">
        <v>108</v>
      </c>
      <c r="I88">
        <v>117</v>
      </c>
      <c r="M88" t="str">
        <f t="shared" si="17"/>
        <v>/*56 jo5c00472 */"https://doi.org/10.1021/acs.joc.5c00472.s002",//FeCl3/TBHP-Mediated Oxidation of Indoles: Divergent Product Selectivity under Mechanochemical and Solution-Based Conditions</v>
      </c>
      <c r="N88" t="e">
        <f t="shared" si="18"/>
        <v>#N/A</v>
      </c>
      <c r="O88" t="b">
        <f t="shared" si="19"/>
        <v>0</v>
      </c>
      <c r="P88" s="13" t="s">
        <v>478</v>
      </c>
      <c r="Q88" s="13" t="s">
        <v>479</v>
      </c>
      <c r="R88" t="str">
        <f t="shared" si="20"/>
        <v>002</v>
      </c>
      <c r="S88">
        <f t="shared" si="26"/>
        <v>66</v>
      </c>
      <c r="T88" s="13" t="str">
        <f>VLOOKUP(Q88,original!B:C,2,FALSE)</f>
        <v>FeCl3/TBHP-Mediated Oxidation of Indoles: Divergent Product Selectivity under Mechanochemical and Solution-Based Conditions</v>
      </c>
      <c r="U88" s="13" t="s">
        <v>481</v>
      </c>
      <c r="V88" t="str">
        <f t="shared" si="21"/>
        <v>jo5c00472</v>
      </c>
      <c r="W88" t="str">
        <f t="shared" si="22"/>
        <v>jo5c00472_si_002.zip</v>
      </c>
      <c r="X88" t="str">
        <f t="shared" si="23"/>
        <v>https://acs.figshare.com/articles/dataset/FeCl_sub_3_sub_TBHP-Mediated_Oxidation_of_Indoles_Divergent_Product_Selectivity_under_Mechanochemical_and_Solution-Based_Conditions/29572154</v>
      </c>
      <c r="Y88" s="1" t="str">
        <f t="shared" si="27"/>
        <v>--localSource c:/temp/acs2/data --targetDir c:/temp/acs2/$DOI$ --noDownload --readOnly  --pubDOI https://doi.org/10.1021/acs.joc.5c00472 --dataDOI "10.1021/acs.joc.5c00472https://acs.figshare.com/articles/dataset/FeCl_sub_3_sub_TBHP-Mediated_Oxidation_of_Indoles_Divergent_Product_Selectivity_under_Mechanochemical_and_Solution-Based_Conditions/29572154"</v>
      </c>
      <c r="Z88" t="str">
        <f t="shared" si="24"/>
        <v>&lt;br&gt;&lt;a href="https://doi.org/10.1021/acs.joc.5c00472.s002"&gt;https://doi.org/10.1021/acs.joc.5c00472.s002&lt;/a&gt;</v>
      </c>
      <c r="AA88" t="str">
        <f t="shared" si="25"/>
        <v/>
      </c>
    </row>
    <row r="89" spans="1:27" x14ac:dyDescent="0.35">
      <c r="A89">
        <v>88</v>
      </c>
      <c r="B89" s="5" t="str">
        <f t="shared" si="14"/>
        <v>jo5c00474</v>
      </c>
      <c r="C89" s="1" t="str">
        <f t="shared" si="15"/>
        <v>jo5c00474</v>
      </c>
      <c r="D89">
        <f>IF(F89=1,"",IF(AND(D88="",S88=S89),"",S89-SUM(F$2:F88)))</f>
        <v>57</v>
      </c>
      <c r="E89" t="str">
        <f t="shared" si="16"/>
        <v>0</v>
      </c>
      <c r="F89">
        <v>0</v>
      </c>
      <c r="H89">
        <v>10</v>
      </c>
      <c r="I89">
        <v>20</v>
      </c>
      <c r="M89" t="str">
        <f t="shared" si="17"/>
        <v>/*57 jo5c00474 */"https://doi.org/10.1021/acs.joc.5c00474.s002",//One-Pot High-Yield Synthesis of a Tripodal Triamine Building Block in an Ammonia Ethanolic Solution</v>
      </c>
      <c r="N89" t="e">
        <f t="shared" si="18"/>
        <v>#N/A</v>
      </c>
      <c r="O89" t="b">
        <f t="shared" si="19"/>
        <v>0</v>
      </c>
      <c r="P89" s="13" t="s">
        <v>518</v>
      </c>
      <c r="Q89" s="13" t="s">
        <v>519</v>
      </c>
      <c r="R89" t="str">
        <f t="shared" si="20"/>
        <v>002</v>
      </c>
      <c r="S89">
        <f t="shared" si="26"/>
        <v>67</v>
      </c>
      <c r="T89" s="13" t="str">
        <f>VLOOKUP(Q89,original!B:C,2,FALSE)</f>
        <v>One-Pot High-Yield Synthesis of a Tripodal Triamine Building Block in an Ammonia Ethanolic Solution</v>
      </c>
      <c r="U89" s="13" t="s">
        <v>521</v>
      </c>
      <c r="V89" t="str">
        <f t="shared" si="21"/>
        <v>jo5c00474</v>
      </c>
      <c r="W89" t="str">
        <f t="shared" si="22"/>
        <v>jo5c00474_si_002.zip</v>
      </c>
      <c r="X89" t="str">
        <f t="shared" si="23"/>
        <v>https://acs.figshare.com/articles/dataset/One-Pot_High-Yield_Synthesis_of_a_Tripodal_Triamine_Building_Block_in_an_Ammonia_Ethanolic_Solution/29442593</v>
      </c>
      <c r="Y89" s="1" t="str">
        <f t="shared" si="27"/>
        <v>--localSource c:/temp/acs2/data --targetDir c:/temp/acs2/$DOI$ --noDownload --readOnly  --pubDOI https://doi.org/10.1021/acs.joc.5c00474 --dataDOI "10.1021/acs.joc.5c00474https://acs.figshare.com/articles/dataset/One-Pot_High-Yield_Synthesis_of_a_Tripodal_Triamine_Building_Block_in_an_Ammonia_Ethanolic_Solution/29442593"</v>
      </c>
      <c r="Z89" t="str">
        <f t="shared" si="24"/>
        <v>&lt;br&gt;&lt;a href="https://doi.org/10.1021/acs.joc.5c00474.s002"&gt;https://doi.org/10.1021/acs.joc.5c00474.s002&lt;/a&gt;</v>
      </c>
      <c r="AA89" t="str">
        <f t="shared" si="25"/>
        <v/>
      </c>
    </row>
    <row r="90" spans="1:27" x14ac:dyDescent="0.35">
      <c r="A90">
        <v>89</v>
      </c>
      <c r="B90" s="5" t="str">
        <f t="shared" si="14"/>
        <v>jo5c00508</v>
      </c>
      <c r="C90" s="1" t="str">
        <f t="shared" si="15"/>
        <v>jo5c00508</v>
      </c>
      <c r="D90">
        <f>IF(F90=1,"",IF(AND(D89="",S89=S90),"",S90-SUM(F$2:F89)))</f>
        <v>58</v>
      </c>
      <c r="E90" t="str">
        <f t="shared" si="16"/>
        <v>0</v>
      </c>
      <c r="F90">
        <v>0</v>
      </c>
      <c r="H90">
        <v>13</v>
      </c>
      <c r="I90">
        <v>65</v>
      </c>
      <c r="J90">
        <v>13</v>
      </c>
      <c r="M90" t="str">
        <f t="shared" si="17"/>
        <v>/*58 jo5c00508 */"https://doi.org/10.1021/acs.joc.5c00508.s001",//Asymmetric and Symmetric S-zig-zag-Fused BODIPYs: Synthesis and Photophysical and Oxidative Properties</v>
      </c>
      <c r="N90" t="e">
        <f t="shared" si="18"/>
        <v>#N/A</v>
      </c>
      <c r="O90" t="b">
        <f t="shared" si="19"/>
        <v>0</v>
      </c>
      <c r="P90" s="13" t="s">
        <v>726</v>
      </c>
      <c r="Q90" s="13" t="s">
        <v>727</v>
      </c>
      <c r="R90" t="str">
        <f t="shared" si="20"/>
        <v>001</v>
      </c>
      <c r="S90">
        <f t="shared" si="26"/>
        <v>68</v>
      </c>
      <c r="T90" s="13" t="str">
        <f>VLOOKUP(Q90,original!B:C,2,FALSE)</f>
        <v>Asymmetric and Symmetric S-zig-zag-Fused BODIPYs: Synthesis and Photophysical and Oxidative Properties</v>
      </c>
      <c r="U90" s="13" t="s">
        <v>729</v>
      </c>
      <c r="V90" t="str">
        <f t="shared" si="21"/>
        <v>jo5c00508</v>
      </c>
      <c r="W90" t="str">
        <f t="shared" si="22"/>
        <v>jo5c00508_si_001.zip</v>
      </c>
      <c r="X90" t="str">
        <f t="shared" si="23"/>
        <v>https://acs.figshare.com/articles/dataset/Asymmetric_and_Symmetric_S-_i_zig-zag_i_-Fused_BODIPYs_Synthesis_and_Photophysical_and_Oxidative_Properties/28826770</v>
      </c>
      <c r="Y90" s="1" t="str">
        <f t="shared" si="27"/>
        <v>--localSource c:/temp/acs2/data --targetDir c:/temp/acs2/$DOI$ --noDownload --readOnly  --pubDOI https://doi.org/10.1021/acs.joc.5c00508 --dataDOI "10.1021/acs.joc.5c00508https://acs.figshare.com/articles/dataset/Asymmetric_and_Symmetric_S-_i_zig-zag_i_-Fused_BODIPYs_Synthesis_and_Photophysical_and_Oxidative_Properties/28826770"</v>
      </c>
      <c r="Z90" t="str">
        <f t="shared" si="24"/>
        <v>&lt;br&gt;&lt;a href="https://doi.org/10.1021/acs.joc.5c00508.s001"&gt;https://doi.org/10.1021/acs.joc.5c00508.s001&lt;/a&gt;</v>
      </c>
      <c r="AA90" t="str">
        <f t="shared" si="25"/>
        <v/>
      </c>
    </row>
    <row r="91" spans="1:27" x14ac:dyDescent="0.35">
      <c r="A91">
        <v>90</v>
      </c>
      <c r="B91" s="5" t="str">
        <f t="shared" si="14"/>
        <v>jo5c00513</v>
      </c>
      <c r="C91" s="1" t="str">
        <f t="shared" si="15"/>
        <v>jo5c00513</v>
      </c>
      <c r="D91">
        <f>IF(F91=1,"",IF(AND(D90="",S90=S91),"",S91-SUM(F$2:F90)))</f>
        <v>59</v>
      </c>
      <c r="E91" t="str">
        <f t="shared" si="16"/>
        <v>0</v>
      </c>
      <c r="F91">
        <v>0</v>
      </c>
      <c r="H91">
        <v>47</v>
      </c>
      <c r="I91">
        <v>95</v>
      </c>
      <c r="M91" t="str">
        <f t="shared" si="17"/>
        <v>/*59 jo5c00513 */"https://doi.org/10.1021/acs.joc.5c00513.s002",//Blue-Light-Irradiated Copper-Catalyzed Regio-tunable Double C–H/C–H Cross-Coupling Reaction: A Sustainable Approach to Construct C2‑Indolyl-1,4-naphthoquinones</v>
      </c>
      <c r="N91" t="e">
        <f t="shared" si="18"/>
        <v>#N/A</v>
      </c>
      <c r="O91" t="b">
        <f t="shared" si="19"/>
        <v>0</v>
      </c>
      <c r="P91" s="13" t="s">
        <v>552</v>
      </c>
      <c r="Q91" s="13" t="s">
        <v>553</v>
      </c>
      <c r="R91" t="str">
        <f t="shared" si="20"/>
        <v>002</v>
      </c>
      <c r="S91">
        <f t="shared" si="26"/>
        <v>69</v>
      </c>
      <c r="T91" s="13" t="str">
        <f>VLOOKUP(Q91,original!B:C,2,FALSE)</f>
        <v>Blue-Light-Irradiated Copper-Catalyzed Regio-tunable Double C–H/C–H Cross-Coupling Reaction: A Sustainable Approach to Construct C2‑Indolyl-1,4-naphthoquinones</v>
      </c>
      <c r="U91" s="13" t="s">
        <v>554</v>
      </c>
      <c r="V91" t="str">
        <f t="shared" si="21"/>
        <v>jo5c00513</v>
      </c>
      <c r="W91" t="str">
        <f t="shared" si="22"/>
        <v>jo5c00513_si_002.zip</v>
      </c>
      <c r="X91" t="str">
        <f t="shared" si="23"/>
        <v>https://acs.figshare.com/articles/dataset/Blue-Light-Irradiated_Copper-Catalyzed_Regio-tunable_Double_C_H_C_H_Cross-Coupling_Reaction_A_Sustainable_Approach_to_Construct_i_C_i_sub_2_sub_Indolyl-1_4-naphthoquinones/29390968</v>
      </c>
      <c r="Y91" s="1" t="str">
        <f t="shared" si="27"/>
        <v>--localSource c:/temp/acs2/data --targetDir c:/temp/acs2/$DOI$ --noDownload --readOnly  --pubDOI https://doi.org/10.1021/acs.joc.5c00513 --dataDOI "10.1021/acs.joc.5c00513https://acs.figshare.com/articles/dataset/Blue-Light-Irradiated_Copper-Catalyzed_Regio-tunable_Double_C_H_C_H_Cross-Coupling_Reaction_A_Sustainable_Approach_to_Construct_i_C_i_sub_2_sub_Indolyl-1_4-naphthoquinones/29390968"</v>
      </c>
      <c r="Z91" t="str">
        <f t="shared" si="24"/>
        <v>&lt;br&gt;&lt;a href="https://doi.org/10.1021/acs.joc.5c00513.s002"&gt;https://doi.org/10.1021/acs.joc.5c00513.s002&lt;/a&gt;</v>
      </c>
      <c r="AA91" t="str">
        <f t="shared" si="25"/>
        <v/>
      </c>
    </row>
    <row r="92" spans="1:27" x14ac:dyDescent="0.35">
      <c r="A92">
        <v>91</v>
      </c>
      <c r="B92" s="5" t="str">
        <f t="shared" si="14"/>
        <v>jo5c00521</v>
      </c>
      <c r="C92" s="1" t="str">
        <f t="shared" si="15"/>
        <v>jo5c00521</v>
      </c>
      <c r="D92">
        <f>IF(F92=1,"",IF(AND(D91="",S91=S92),"",S92-SUM(F$2:F91)))</f>
        <v>60</v>
      </c>
      <c r="E92" t="str">
        <f t="shared" si="16"/>
        <v>0</v>
      </c>
      <c r="F92">
        <v>0</v>
      </c>
      <c r="H92">
        <v>10</v>
      </c>
      <c r="I92">
        <v>10</v>
      </c>
      <c r="M92" t="str">
        <f t="shared" si="17"/>
        <v>/*60 jo5c00521 */"https://doi.org/10.1021/acs.joc.5c00521.s001",//Synthesis of Octatrimethylsilyl-[8]cycloparaphenylene for Multifunctionalized Cycloparaphenylene</v>
      </c>
      <c r="N92" t="e">
        <f t="shared" si="18"/>
        <v>#N/A</v>
      </c>
      <c r="O92" t="b">
        <f t="shared" si="19"/>
        <v>0</v>
      </c>
      <c r="P92" s="13" t="s">
        <v>643</v>
      </c>
      <c r="Q92" s="13" t="s">
        <v>644</v>
      </c>
      <c r="R92" t="str">
        <f t="shared" si="20"/>
        <v>001</v>
      </c>
      <c r="S92">
        <f t="shared" si="26"/>
        <v>70</v>
      </c>
      <c r="T92" s="13" t="str">
        <f>VLOOKUP(Q92,original!B:C,2,FALSE)</f>
        <v>Synthesis of Octatrimethylsilyl-[8]cycloparaphenylene for Multifunctionalized Cycloparaphenylene</v>
      </c>
      <c r="U92" s="13" t="s">
        <v>646</v>
      </c>
      <c r="V92" t="str">
        <f t="shared" si="21"/>
        <v>jo5c00521</v>
      </c>
      <c r="W92" t="str">
        <f t="shared" si="22"/>
        <v>jo5c00521_si_001.zip</v>
      </c>
      <c r="X92" t="str">
        <f t="shared" si="23"/>
        <v>https://acs.figshare.com/articles/dataset/Synthesis_of_Octatrimethylsilyl-_8_cycloparaphenylene_for_Multifunctionalized_Cycloparaphenylene/29175258</v>
      </c>
      <c r="Y92" s="1" t="str">
        <f t="shared" si="27"/>
        <v>--localSource c:/temp/acs2/data --targetDir c:/temp/acs2/$DOI$ --noDownload --readOnly  --pubDOI https://doi.org/10.1021/acs.joc.5c00521 --dataDOI "10.1021/acs.joc.5c00521https://acs.figshare.com/articles/dataset/Synthesis_of_Octatrimethylsilyl-_8_cycloparaphenylene_for_Multifunctionalized_Cycloparaphenylene/29175258"</v>
      </c>
      <c r="Z92" t="str">
        <f t="shared" si="24"/>
        <v>&lt;br&gt;&lt;a href="https://doi.org/10.1021/acs.joc.5c00521.s001"&gt;https://doi.org/10.1021/acs.joc.5c00521.s001&lt;/a&gt;</v>
      </c>
      <c r="AA92" t="str">
        <f t="shared" si="25"/>
        <v/>
      </c>
    </row>
    <row r="93" spans="1:27" x14ac:dyDescent="0.35">
      <c r="A93">
        <v>92</v>
      </c>
      <c r="B93" s="5" t="str">
        <f t="shared" si="14"/>
        <v>jo5c00526</v>
      </c>
      <c r="C93" s="1" t="str">
        <f t="shared" si="15"/>
        <v/>
      </c>
      <c r="D93" t="str">
        <f>IF(F93=1,"",IF(AND(D92="",S92=S93),"",S93-SUM(F$2:F92)))</f>
        <v/>
      </c>
      <c r="E93" t="str">
        <f t="shared" si="16"/>
        <v>0</v>
      </c>
      <c r="F93">
        <v>1</v>
      </c>
      <c r="G93" t="s">
        <v>1053</v>
      </c>
      <c r="M93" t="str">
        <f t="shared" si="17"/>
        <v/>
      </c>
      <c r="N93" t="e">
        <f t="shared" si="18"/>
        <v>#N/A</v>
      </c>
      <c r="O93" t="b">
        <f t="shared" si="19"/>
        <v>0</v>
      </c>
      <c r="P93" s="13" t="s">
        <v>503</v>
      </c>
      <c r="Q93" s="13" t="s">
        <v>504</v>
      </c>
      <c r="R93" t="str">
        <f t="shared" si="20"/>
        <v>002</v>
      </c>
      <c r="S93">
        <f t="shared" si="26"/>
        <v>71</v>
      </c>
      <c r="T93" s="13" t="str">
        <f>VLOOKUP(Q93,original!B:C,2,FALSE)</f>
        <v>Precise Synthesis of Ester-Functionalized Cyclo[6]- and Cyclo[7]furans</v>
      </c>
      <c r="U93" s="13" t="s">
        <v>502</v>
      </c>
      <c r="V93" t="str">
        <f t="shared" si="21"/>
        <v>jo5c00526</v>
      </c>
      <c r="W93" t="str">
        <f t="shared" si="22"/>
        <v>jo5c00526_si_002.zip</v>
      </c>
      <c r="X93" t="str">
        <f t="shared" si="23"/>
        <v>https://acs.figshare.com/articles/dataset/Precise_Synthesis_of_Ester-Functionalized_Cyclo_6_-_and_Cyclo_7_furans/29494701</v>
      </c>
      <c r="Y93" s="1" t="str">
        <f t="shared" si="27"/>
        <v/>
      </c>
      <c r="Z93" t="str">
        <f t="shared" si="24"/>
        <v>&lt;br&gt;&lt;a href="https://doi.org/10.1021/acs.joc.5c00526.s002"&gt;https://doi.org/10.1021/acs.joc.5c00526.s002&lt;/a&gt;</v>
      </c>
      <c r="AA93" t="str">
        <f t="shared" si="25"/>
        <v/>
      </c>
    </row>
    <row r="94" spans="1:27" x14ac:dyDescent="0.35">
      <c r="A94">
        <v>93</v>
      </c>
      <c r="B94" s="5" t="str">
        <f t="shared" si="14"/>
        <v>jo5c00526</v>
      </c>
      <c r="C94" s="1" t="str">
        <f t="shared" si="15"/>
        <v xml:space="preserve">#jo5c00526 </v>
      </c>
      <c r="D94" t="str">
        <f>IF(F94=1,"",IF(AND(D93="",S93=S94),"",S94-SUM(F$2:F93)))</f>
        <v/>
      </c>
      <c r="E94" t="str">
        <f t="shared" si="16"/>
        <v>1</v>
      </c>
      <c r="F94">
        <v>0</v>
      </c>
      <c r="M94" t="str">
        <f t="shared" si="17"/>
        <v/>
      </c>
      <c r="N94" t="e">
        <f t="shared" si="18"/>
        <v>#N/A</v>
      </c>
      <c r="O94" t="b">
        <f t="shared" si="19"/>
        <v>0</v>
      </c>
      <c r="P94" s="13" t="s">
        <v>499</v>
      </c>
      <c r="Q94" s="13" t="s">
        <v>500</v>
      </c>
      <c r="R94" t="str">
        <f t="shared" si="20"/>
        <v>003</v>
      </c>
      <c r="S94">
        <f t="shared" si="26"/>
        <v>71</v>
      </c>
      <c r="T94" s="13" t="str">
        <f>VLOOKUP(Q94,original!B:C,2,FALSE)</f>
        <v>Precise Synthesis of Ester-Functionalized Cyclo[6]- and Cyclo[7]furans</v>
      </c>
      <c r="U94" s="13" t="s">
        <v>502</v>
      </c>
      <c r="V94" t="str">
        <f t="shared" si="21"/>
        <v>jo5c00526</v>
      </c>
      <c r="W94" t="str">
        <f t="shared" si="22"/>
        <v>jo5c00526_si_003.zip</v>
      </c>
      <c r="X94" t="str">
        <f t="shared" si="23"/>
        <v>https://acs.figshare.com/articles/dataset/Precise_Synthesis_of_Ester-Functionalized_Cyclo_6_-_and_Cyclo_7_furans/29494701\thttps://acs.figshare.com/articles/dataset/Precise_Synthesis_of_Ester-Functionalized_Cyclo_6_-_and_Cyclo_7_furans/29494704</v>
      </c>
      <c r="Y94" s="1" t="str">
        <f t="shared" si="27"/>
        <v>--localSource c:/temp/acs2/data --targetDir c:/temp/acs2/$DOI$ --noDownload --readOnly  --pubDOI https://doi.org/10.1021/acs.joc.5c00526 --dataDOI "10.1021/acs.joc.5c00526https://acs.figshare.com/articles/dataset/Precise_Synthesis_of_Ester-Functionalized_Cyclo_6_-_and_Cyclo_7_furans/29494701\thttps://acs.figshare.com/articles/dataset/Precise_Synthesis_of_Ester-Functionalized_Cyclo_6_-_and_Cyclo_7_furans/29494704"</v>
      </c>
      <c r="Z94" t="str">
        <f t="shared" si="24"/>
        <v>&lt;br&gt;&lt;a href="https://doi.org/10.1021/acs.joc.5c00526.s003"&gt;https://doi.org/10.1021/acs.joc.5c00526.s003&lt;/a&gt;</v>
      </c>
      <c r="AA94" t="str">
        <f t="shared" si="25"/>
        <v/>
      </c>
    </row>
    <row r="95" spans="1:27" x14ac:dyDescent="0.35">
      <c r="A95">
        <v>94</v>
      </c>
      <c r="B95" s="5" t="str">
        <f t="shared" si="14"/>
        <v>jo5c00545</v>
      </c>
      <c r="C95" s="1" t="str">
        <f t="shared" si="15"/>
        <v>jo5c00545</v>
      </c>
      <c r="D95">
        <f>IF(F95=1,"",IF(AND(D94="",S94=S95),"",S95-SUM(F$2:F94)))</f>
        <v>61</v>
      </c>
      <c r="E95" t="str">
        <f t="shared" si="16"/>
        <v>0</v>
      </c>
      <c r="F95">
        <v>0</v>
      </c>
      <c r="H95">
        <v>6</v>
      </c>
      <c r="I95">
        <v>11</v>
      </c>
      <c r="M95" t="str">
        <f t="shared" si="17"/>
        <v>/*61 jo5c00545 */"https://doi.org/10.1021/acs.joc.5c00545.s002",//Total Synthesis of the Melodinus Alkaloid (±)-Melohemsine K</v>
      </c>
      <c r="N95" t="e">
        <f t="shared" si="18"/>
        <v>#N/A</v>
      </c>
      <c r="O95" t="b">
        <f t="shared" si="19"/>
        <v>0</v>
      </c>
      <c r="P95" s="13" t="s">
        <v>711</v>
      </c>
      <c r="Q95" s="13" t="s">
        <v>712</v>
      </c>
      <c r="R95" t="str">
        <f t="shared" si="20"/>
        <v>002</v>
      </c>
      <c r="S95">
        <f t="shared" si="26"/>
        <v>72</v>
      </c>
      <c r="T95" s="13" t="str">
        <f>VLOOKUP(Q95,original!B:C,2,FALSE)</f>
        <v>Total Synthesis of the Melodinus Alkaloid (±)-Melohemsine K</v>
      </c>
      <c r="U95" s="13" t="s">
        <v>713</v>
      </c>
      <c r="V95" t="str">
        <f t="shared" si="21"/>
        <v>jo5c00545</v>
      </c>
      <c r="W95" t="str">
        <f t="shared" si="22"/>
        <v>jo5c00545_si_002.zip</v>
      </c>
      <c r="X95" t="str">
        <f t="shared" si="23"/>
        <v>https://acs.figshare.com/articles/dataset/Total_Synthesis_of_the_i_Melodinus_i_Alkaloid_-Melohemsine_K/28870939</v>
      </c>
      <c r="Y95" s="1" t="str">
        <f t="shared" si="27"/>
        <v>--localSource c:/temp/acs2/data --targetDir c:/temp/acs2/$DOI$ --noDownload --readOnly  --pubDOI https://doi.org/10.1021/acs.joc.5c00545 --dataDOI "10.1021/acs.joc.5c00545https://acs.figshare.com/articles/dataset/Total_Synthesis_of_the_i_Melodinus_i_Alkaloid_-Melohemsine_K/28870939"</v>
      </c>
      <c r="Z95" t="str">
        <f t="shared" si="24"/>
        <v>&lt;br&gt;&lt;a href="https://doi.org/10.1021/acs.joc.5c00545.s002"&gt;https://doi.org/10.1021/acs.joc.5c00545.s002&lt;/a&gt;</v>
      </c>
      <c r="AA95" t="str">
        <f t="shared" si="25"/>
        <v/>
      </c>
    </row>
    <row r="96" spans="1:27" x14ac:dyDescent="0.35">
      <c r="A96">
        <v>95</v>
      </c>
      <c r="B96" s="5" t="str">
        <f t="shared" si="14"/>
        <v>jo5c00606</v>
      </c>
      <c r="C96" s="1" t="str">
        <f t="shared" si="15"/>
        <v>jo5c00606</v>
      </c>
      <c r="D96">
        <f>IF(F96=1,"",IF(AND(D95="",S95=S96),"",S96-SUM(F$2:F95)))</f>
        <v>62</v>
      </c>
      <c r="E96" t="str">
        <f t="shared" si="16"/>
        <v>0</v>
      </c>
      <c r="F96">
        <v>0</v>
      </c>
      <c r="H96">
        <v>7</v>
      </c>
      <c r="I96">
        <v>7</v>
      </c>
      <c r="M96" t="str">
        <f t="shared" si="17"/>
        <v>/*62 jo5c00606 */"https://doi.org/10.1021/acs.joc.5c00606.s002",//Reversibility and Enantioselectivity of Palladium-Catalyzed Allylic Aminations: Ligand, Base-Additive, and Solvent Effects</v>
      </c>
      <c r="N96" t="e">
        <f t="shared" si="18"/>
        <v>#N/A</v>
      </c>
      <c r="O96" t="b">
        <f t="shared" si="19"/>
        <v>0</v>
      </c>
      <c r="P96" s="13" t="s">
        <v>665</v>
      </c>
      <c r="Q96" s="13" t="s">
        <v>666</v>
      </c>
      <c r="R96" t="str">
        <f t="shared" si="20"/>
        <v>002</v>
      </c>
      <c r="S96">
        <f t="shared" si="26"/>
        <v>73</v>
      </c>
      <c r="T96" s="13" t="str">
        <f>VLOOKUP(Q96,original!B:C,2,FALSE)</f>
        <v>Reversibility and Enantioselectivity of Palladium-Catalyzed Allylic Aminations: Ligand, Base-Additive, and Solvent Effects</v>
      </c>
      <c r="U96" s="13" t="s">
        <v>668</v>
      </c>
      <c r="V96" t="str">
        <f t="shared" si="21"/>
        <v>jo5c00606</v>
      </c>
      <c r="W96" t="str">
        <f t="shared" si="22"/>
        <v>jo5c00606_si_002.zip</v>
      </c>
      <c r="X96" t="str">
        <f t="shared" si="23"/>
        <v>https://acs.figshare.com/articles/dataset/Reversibility_and_Enantioselectivity_of_Palladium-Catalyzed_Allylic_Aminations_Ligand_Base-Additive_and_Solvent_Effects/29111404</v>
      </c>
      <c r="Y96" s="1" t="str">
        <f t="shared" si="27"/>
        <v>--localSource c:/temp/acs2/data --targetDir c:/temp/acs2/$DOI$ --noDownload --readOnly  --pubDOI https://doi.org/10.1021/acs.joc.5c00606 --dataDOI "10.1021/acs.joc.5c00606https://acs.figshare.com/articles/dataset/Reversibility_and_Enantioselectivity_of_Palladium-Catalyzed_Allylic_Aminations_Ligand_Base-Additive_and_Solvent_Effects/29111404"</v>
      </c>
      <c r="Z96" t="str">
        <f t="shared" si="24"/>
        <v>&lt;br&gt;&lt;a href="https://doi.org/10.1021/acs.joc.5c00606.s002"&gt;https://doi.org/10.1021/acs.joc.5c00606.s002&lt;/a&gt;</v>
      </c>
      <c r="AA96" t="str">
        <f t="shared" si="25"/>
        <v/>
      </c>
    </row>
    <row r="97" spans="1:27" x14ac:dyDescent="0.35">
      <c r="A97">
        <v>96</v>
      </c>
      <c r="B97" s="5" t="str">
        <f t="shared" si="14"/>
        <v>jo5c00609</v>
      </c>
      <c r="C97" s="1" t="str">
        <f t="shared" si="15"/>
        <v>jo5c00609</v>
      </c>
      <c r="D97">
        <f>IF(F97=1,"",IF(AND(D96="",S96=S97),"",S97-SUM(F$2:F96)))</f>
        <v>63</v>
      </c>
      <c r="E97" t="str">
        <f t="shared" si="16"/>
        <v>0</v>
      </c>
      <c r="F97">
        <v>0</v>
      </c>
      <c r="H97">
        <v>45</v>
      </c>
      <c r="I97">
        <v>140</v>
      </c>
      <c r="J97">
        <v>1</v>
      </c>
      <c r="M97" t="str">
        <f t="shared" si="17"/>
        <v>/*63 jo5c00609 */"https://doi.org/10.1021/acs.joc.5c00609.s002",//Curcumin as a Cinnamoyl Transfer Reagent via C–C(CO) Bond Scissoring in the Microwave-Assisted Reaction with Hydroxy‑p‑QMs</v>
      </c>
      <c r="N97" t="e">
        <f t="shared" si="18"/>
        <v>#N/A</v>
      </c>
      <c r="O97" t="b">
        <f t="shared" si="19"/>
        <v>0</v>
      </c>
      <c r="P97" s="13" t="s">
        <v>492</v>
      </c>
      <c r="Q97" s="13" t="s">
        <v>493</v>
      </c>
      <c r="R97" t="str">
        <f t="shared" si="20"/>
        <v>002</v>
      </c>
      <c r="S97">
        <f t="shared" si="26"/>
        <v>74</v>
      </c>
      <c r="T97" s="13" t="str">
        <f>VLOOKUP(Q97,original!B:C,2,FALSE)</f>
        <v>Curcumin as a Cinnamoyl Transfer Reagent via C–C(CO) Bond Scissoring in the Microwave-Assisted Reaction with Hydroxy‑p‑QMs</v>
      </c>
      <c r="U97" s="13" t="s">
        <v>494</v>
      </c>
      <c r="V97" t="str">
        <f t="shared" si="21"/>
        <v>jo5c00609</v>
      </c>
      <c r="W97" t="str">
        <f t="shared" si="22"/>
        <v>jo5c00609_si_002.zip</v>
      </c>
      <c r="X97" t="str">
        <f t="shared" si="23"/>
        <v>https://acs.figshare.com/articles/dataset/Curcumin_as_a_Cinnamoyl_Transfer_Reagent_via_C_C_CO_Bond_Scissoring_in_the_Microwave-Assisted_Reaction_with_Hydroxy_i_p_i_QMs/29525258</v>
      </c>
      <c r="Y97" s="1" t="str">
        <f t="shared" si="27"/>
        <v>--localSource c:/temp/acs2/data --targetDir c:/temp/acs2/$DOI$ --noDownload --readOnly  --pubDOI https://doi.org/10.1021/acs.joc.5c00609 --dataDOI "10.1021/acs.joc.5c00609https://acs.figshare.com/articles/dataset/Curcumin_as_a_Cinnamoyl_Transfer_Reagent_via_C_C_CO_Bond_Scissoring_in_the_Microwave-Assisted_Reaction_with_Hydroxy_i_p_i_QMs/29525258"</v>
      </c>
      <c r="Z97" t="str">
        <f t="shared" si="24"/>
        <v>&lt;br&gt;&lt;a href="https://doi.org/10.1021/acs.joc.5c00609.s002"&gt;https://doi.org/10.1021/acs.joc.5c00609.s002&lt;/a&gt;</v>
      </c>
      <c r="AA97" t="str">
        <f t="shared" si="25"/>
        <v/>
      </c>
    </row>
    <row r="98" spans="1:27" x14ac:dyDescent="0.35">
      <c r="A98">
        <v>97</v>
      </c>
      <c r="B98" s="5" t="str">
        <f t="shared" si="14"/>
        <v>jo5c00613</v>
      </c>
      <c r="C98" s="1" t="str">
        <f t="shared" si="15"/>
        <v>jo5c00613</v>
      </c>
      <c r="D98">
        <f>IF(F98=1,"",IF(AND(D97="",S97=S98),"",S98-SUM(F$2:F97)))</f>
        <v>64</v>
      </c>
      <c r="E98" t="str">
        <f t="shared" si="16"/>
        <v>0</v>
      </c>
      <c r="F98">
        <v>0</v>
      </c>
      <c r="H98">
        <v>69</v>
      </c>
      <c r="I98">
        <v>175</v>
      </c>
      <c r="J98">
        <v>1</v>
      </c>
      <c r="M98" t="str">
        <f t="shared" si="17"/>
        <v>/*64 jo5c00613 */"https://doi.org/10.1021/acs.joc.5c00613.s002",//Ni/Pd Dual-Catalysis Strategy for C(sp2)–Sb Cross-Coupling of Halostibines with Aryl Triflates and Applications of Products as Coupling Reagents, Ligands, and Anticancer Compounds</v>
      </c>
      <c r="N98" t="e">
        <f t="shared" si="18"/>
        <v>#N/A</v>
      </c>
      <c r="O98" t="b">
        <f t="shared" si="19"/>
        <v>0</v>
      </c>
      <c r="P98" s="13" t="s">
        <v>669</v>
      </c>
      <c r="Q98" s="13" t="s">
        <v>670</v>
      </c>
      <c r="R98" t="str">
        <f t="shared" si="20"/>
        <v>002</v>
      </c>
      <c r="S98">
        <f t="shared" si="26"/>
        <v>75</v>
      </c>
      <c r="T98" s="13" t="str">
        <f>VLOOKUP(Q98,original!B:C,2,FALSE)</f>
        <v>Ni/Pd Dual-Catalysis Strategy for C(sp2)–Sb Cross-Coupling of Halostibines with Aryl Triflates and Applications of Products as Coupling Reagents, Ligands, and Anticancer Compounds</v>
      </c>
      <c r="U98" s="13" t="s">
        <v>671</v>
      </c>
      <c r="V98" t="str">
        <f t="shared" si="21"/>
        <v>jo5c00613</v>
      </c>
      <c r="W98" t="str">
        <f t="shared" si="22"/>
        <v>jo5c00613_si_002.zip</v>
      </c>
      <c r="X98" t="str">
        <f t="shared" si="23"/>
        <v>https://acs.figshare.com/articles/dataset/Ni_Pd_Dual-Catalysis_Strategy_for_C_sp_sup_2_sup_Sb_Cross-Coupling_of_Halostibines_with_Aryl_Triflates_and_Applications_of_Products_as_Coupling_Reagents_Ligands_and_Anticancer_Compounds/29104990</v>
      </c>
      <c r="Y98" s="1" t="str">
        <f t="shared" si="27"/>
        <v>--localSource c:/temp/acs2/data --targetDir c:/temp/acs2/$DOI$ --noDownload --readOnly  --pubDOI https://doi.org/10.1021/acs.joc.5c00613 --dataDOI "10.1021/acs.joc.5c00613https://acs.figshare.com/articles/dataset/Ni_Pd_Dual-Catalysis_Strategy_for_C_sp_sup_2_sup_Sb_Cross-Coupling_of_Halostibines_with_Aryl_Triflates_and_Applications_of_Products_as_Coupling_Reagents_Ligands_and_Anticancer_Compounds/29104990"</v>
      </c>
      <c r="Z98" t="str">
        <f t="shared" si="24"/>
        <v>&lt;br&gt;&lt;a href="https://doi.org/10.1021/acs.joc.5c00613.s002"&gt;https://doi.org/10.1021/acs.joc.5c00613.s002&lt;/a&gt;</v>
      </c>
      <c r="AA98" t="str">
        <f t="shared" si="25"/>
        <v/>
      </c>
    </row>
    <row r="99" spans="1:27" x14ac:dyDescent="0.35">
      <c r="A99">
        <v>98</v>
      </c>
      <c r="B99" s="5" t="str">
        <f t="shared" si="14"/>
        <v>jo5c00614</v>
      </c>
      <c r="C99" s="1" t="str">
        <f t="shared" si="15"/>
        <v/>
      </c>
      <c r="D99" t="str">
        <f>IF(F99=1,"",IF(AND(D98="",S98=S99),"",S99-SUM(F$2:F98)))</f>
        <v/>
      </c>
      <c r="E99" t="str">
        <f t="shared" si="16"/>
        <v>0</v>
      </c>
      <c r="F99">
        <v>1</v>
      </c>
      <c r="G99" t="s">
        <v>1053</v>
      </c>
      <c r="M99" t="str">
        <f t="shared" si="17"/>
        <v/>
      </c>
      <c r="N99" t="e">
        <f t="shared" si="18"/>
        <v>#N/A</v>
      </c>
      <c r="O99" t="b">
        <f t="shared" si="19"/>
        <v>0</v>
      </c>
      <c r="P99" s="13" t="s">
        <v>600</v>
      </c>
      <c r="Q99" s="13" t="s">
        <v>601</v>
      </c>
      <c r="R99" t="str">
        <f t="shared" si="20"/>
        <v>002</v>
      </c>
      <c r="S99">
        <f t="shared" si="26"/>
        <v>76</v>
      </c>
      <c r="T99" s="13" t="str">
        <f>VLOOKUP(Q99,original!B:C,2,FALSE)</f>
        <v>Further Mechanistic Investigations into the Blue Light-Driven O–H Functionalization of Alcohols by Aryldiazoacetates</v>
      </c>
      <c r="U99" s="13" t="s">
        <v>597</v>
      </c>
      <c r="V99" t="str">
        <f t="shared" si="21"/>
        <v>jo5c00614</v>
      </c>
      <c r="W99" t="str">
        <f t="shared" si="22"/>
        <v>jo5c00614_si_002.zip</v>
      </c>
      <c r="X99" t="str">
        <f t="shared" si="23"/>
        <v>https://acs.figshare.com/articles/dataset/Further_Mechanistic_Investigations_into_the_Blue_Light-Driven_O_H_Functionalization_of_Alcohols_by_Aryldiazoacetates/29274587</v>
      </c>
      <c r="Y99" s="1" t="str">
        <f t="shared" si="27"/>
        <v/>
      </c>
      <c r="Z99" t="str">
        <f t="shared" si="24"/>
        <v>&lt;br&gt;&lt;a href="https://doi.org/10.1021/acs.joc.5c00614.s002"&gt;https://doi.org/10.1021/acs.joc.5c00614.s002&lt;/a&gt;</v>
      </c>
      <c r="AA99" t="str">
        <f t="shared" si="25"/>
        <v/>
      </c>
    </row>
    <row r="100" spans="1:27" x14ac:dyDescent="0.35">
      <c r="A100">
        <v>99</v>
      </c>
      <c r="B100" s="5" t="str">
        <f t="shared" si="14"/>
        <v>jo5c00614</v>
      </c>
      <c r="C100" s="1" t="str">
        <f t="shared" si="15"/>
        <v/>
      </c>
      <c r="D100" t="str">
        <f>IF(F100=1,"",IF(AND(D99="",S99=S100),"",S100-SUM(F$2:F99)))</f>
        <v/>
      </c>
      <c r="E100" t="str">
        <f t="shared" si="16"/>
        <v>1</v>
      </c>
      <c r="F100">
        <v>0</v>
      </c>
      <c r="M100" t="str">
        <f t="shared" si="17"/>
        <v/>
      </c>
      <c r="N100" t="e">
        <f t="shared" si="18"/>
        <v>#N/A</v>
      </c>
      <c r="O100" t="b">
        <f t="shared" si="19"/>
        <v>0</v>
      </c>
      <c r="P100" s="13" t="s">
        <v>598</v>
      </c>
      <c r="Q100" s="13" t="s">
        <v>599</v>
      </c>
      <c r="R100" t="str">
        <f t="shared" si="20"/>
        <v>003</v>
      </c>
      <c r="S100">
        <f t="shared" si="26"/>
        <v>76</v>
      </c>
      <c r="T100" s="13" t="str">
        <f>VLOOKUP(Q100,original!B:C,2,FALSE)</f>
        <v>Further Mechanistic Investigations into the Blue Light-Driven O–H Functionalization of Alcohols by Aryldiazoacetates</v>
      </c>
      <c r="U100" s="13" t="s">
        <v>597</v>
      </c>
      <c r="V100" t="str">
        <f t="shared" si="21"/>
        <v>jo5c00614</v>
      </c>
      <c r="W100" t="str">
        <f t="shared" si="22"/>
        <v>jo5c00614_si_003.zip</v>
      </c>
      <c r="X100" t="str">
        <f t="shared" si="23"/>
        <v>https://acs.figshare.com/articles/dataset/Further_Mechanistic_Investigations_into_the_Blue_Light-Driven_O_H_Functionalization_of_Alcohols_by_Aryldiazoacetates/29274587\thttps://acs.figshare.com/articles/dataset/Further_Mechanistic_Investigations_into_the_Blue_Light-Driven_O_H_Functionalization_of_Alcohols_by_Aryldiazoacetates/29274590</v>
      </c>
      <c r="Y100" s="1" t="str">
        <f t="shared" si="27"/>
        <v/>
      </c>
      <c r="Z100" t="str">
        <f t="shared" si="24"/>
        <v>&lt;br&gt;&lt;a href="https://doi.org/10.1021/acs.joc.5c00614.s003"&gt;https://doi.org/10.1021/acs.joc.5c00614.s003&lt;/a&gt;</v>
      </c>
      <c r="AA100" t="str">
        <f t="shared" si="25"/>
        <v/>
      </c>
    </row>
    <row r="101" spans="1:27" x14ac:dyDescent="0.35">
      <c r="A101">
        <v>100</v>
      </c>
      <c r="B101" s="5" t="str">
        <f t="shared" si="14"/>
        <v>jo5c00614</v>
      </c>
      <c r="C101" s="1" t="str">
        <f t="shared" si="15"/>
        <v xml:space="preserve">#jo5c00614 </v>
      </c>
      <c r="D101" t="str">
        <f>IF(F101=1,"",IF(AND(D100="",S100=S101),"",S101-SUM(F$2:F100)))</f>
        <v/>
      </c>
      <c r="E101" t="str">
        <f t="shared" si="16"/>
        <v>1</v>
      </c>
      <c r="F101">
        <v>0</v>
      </c>
      <c r="M101" t="str">
        <f t="shared" si="17"/>
        <v/>
      </c>
      <c r="N101" t="e">
        <f t="shared" si="18"/>
        <v>#N/A</v>
      </c>
      <c r="O101" t="b">
        <f t="shared" si="19"/>
        <v>0</v>
      </c>
      <c r="P101" s="13" t="s">
        <v>595</v>
      </c>
      <c r="Q101" s="13" t="s">
        <v>596</v>
      </c>
      <c r="R101" t="str">
        <f t="shared" si="20"/>
        <v>004</v>
      </c>
      <c r="S101">
        <f t="shared" si="26"/>
        <v>76</v>
      </c>
      <c r="T101" s="13" t="str">
        <f>VLOOKUP(Q101,original!B:C,2,FALSE)</f>
        <v>Further Mechanistic Investigations into the Blue Light-Driven O–H Functionalization of Alcohols by Aryldiazoacetates</v>
      </c>
      <c r="U101" s="13" t="s">
        <v>597</v>
      </c>
      <c r="V101" t="str">
        <f t="shared" si="21"/>
        <v>jo5c00614</v>
      </c>
      <c r="W101" t="str">
        <f t="shared" si="22"/>
        <v>jo5c00614_si_004.zip</v>
      </c>
      <c r="X101" t="str">
        <f t="shared" si="23"/>
        <v>https://acs.figshare.com/articles/dataset/Further_Mechanistic_Investigations_into_the_Blue_Light-Driven_O_H_Functionalization_of_Alcohols_by_Aryldiazoacetates/29274587\thttps://acs.figshare.com/articles/dataset/Further_Mechanistic_Investigations_into_the_Blue_Light-Driven_O_H_Functionalization_of_Alcohols_by_Aryldiazoacetates/29274590\thttps://acs.figshare.com/articles/dataset/Further_Mechanistic_Investigations_into_the_Blue_Light-Driven_O_H_Functionalization_of_Alcohols_by_Aryldiazoacetates/29274593</v>
      </c>
      <c r="Y101" s="1" t="str">
        <f t="shared" si="27"/>
        <v>--localSource c:/temp/acs2/data --targetDir c:/temp/acs2/$DOI$ --noDownload --readOnly  --pubDOI https://doi.org/10.1021/acs.joc.5c00614 --dataDOI "10.1021/acs.joc.5c00614https://acs.figshare.com/articles/dataset/Further_Mechanistic_Investigations_into_the_Blue_Light-Driven_O_H_Functionalization_of_Alcohols_by_Aryldiazoacetates/29274587\thttps://acs.figshare.com/articles/dataset/Further_Mechanistic_Investigations_into_the_Blue_Light-Driven_O_H_Functionalization_of_Alcohols_by_Aryldiazoacetates/29274590\thttps://acs.figshare.com/articles/dataset/Further_Mechanistic_Investigations_into_the_Blue_Light-Driven_O_H_Functionalization_of_Alcohols_by_Aryldiazoacetates/29274593"</v>
      </c>
      <c r="Z101" t="str">
        <f t="shared" si="24"/>
        <v>&lt;br&gt;&lt;a href="https://doi.org/10.1021/acs.joc.5c00614.s004"&gt;https://doi.org/10.1021/acs.joc.5c00614.s004&lt;/a&gt;</v>
      </c>
      <c r="AA101" t="str">
        <f t="shared" si="25"/>
        <v/>
      </c>
    </row>
    <row r="102" spans="1:27" x14ac:dyDescent="0.35">
      <c r="A102">
        <v>101</v>
      </c>
      <c r="B102" s="5" t="str">
        <f t="shared" si="14"/>
        <v>jo5c00649</v>
      </c>
      <c r="C102" s="1" t="str">
        <f t="shared" si="15"/>
        <v>#jo5c00649 mol files only</v>
      </c>
      <c r="D102" t="str">
        <f>IF(F102=1,"",IF(AND(D101="",S101=S102),"",S102-SUM(F$2:F101)))</f>
        <v/>
      </c>
      <c r="E102" t="str">
        <f t="shared" si="16"/>
        <v>0</v>
      </c>
      <c r="F102">
        <v>1</v>
      </c>
      <c r="G102" t="s">
        <v>2291</v>
      </c>
      <c r="H102">
        <v>0</v>
      </c>
      <c r="I102">
        <v>0</v>
      </c>
      <c r="M102" t="str">
        <f t="shared" si="17"/>
        <v/>
      </c>
      <c r="N102" t="e">
        <f t="shared" si="18"/>
        <v>#N/A</v>
      </c>
      <c r="O102" t="b">
        <f t="shared" si="19"/>
        <v>0</v>
      </c>
      <c r="P102" s="13" t="s">
        <v>511</v>
      </c>
      <c r="Q102" s="13" t="s">
        <v>512</v>
      </c>
      <c r="R102" t="str">
        <f t="shared" si="20"/>
        <v>002</v>
      </c>
      <c r="S102">
        <f t="shared" si="26"/>
        <v>77</v>
      </c>
      <c r="T102" s="13" t="str">
        <f>VLOOKUP(Q102,original!B:C,2,FALSE)</f>
        <v>Do We See the True Color of Anthocyanidins?</v>
      </c>
      <c r="U102" s="13" t="s">
        <v>514</v>
      </c>
      <c r="V102" t="str">
        <f t="shared" si="21"/>
        <v>jo5c00649</v>
      </c>
      <c r="W102" t="str">
        <f t="shared" si="22"/>
        <v>jo5c00649_si_002.zip</v>
      </c>
      <c r="X102" t="str">
        <f t="shared" si="23"/>
        <v>https://acs.figshare.com/articles/dataset/Do_We_See_the_True_Color_of_Anthocyanidins_/29447807</v>
      </c>
      <c r="Y102" s="1" t="str">
        <f t="shared" si="27"/>
        <v>--localSource c:/temp/acs2/data --targetDir c:/temp/acs2/$DOI$ --noDownload --readOnly  --pubDOI https://doi.org/10.1021/acs.joc.5c00649 --dataDOI "10.1021/acs.joc.5c00649https://acs.figshare.com/articles/dataset/Do_We_See_the_True_Color_of_Anthocyanidins_/29447807"</v>
      </c>
      <c r="Z102" t="str">
        <f t="shared" si="24"/>
        <v>&lt;br&gt;&lt;a href="https://doi.org/10.1021/acs.joc.5c00649.s002"&gt;https://doi.org/10.1021/acs.joc.5c00649.s002&lt;/a&gt;</v>
      </c>
      <c r="AA102" t="str">
        <f t="shared" si="25"/>
        <v/>
      </c>
    </row>
    <row r="103" spans="1:27" x14ac:dyDescent="0.35">
      <c r="A103">
        <v>102</v>
      </c>
      <c r="B103" s="5" t="str">
        <f t="shared" si="14"/>
        <v>jo5c00670</v>
      </c>
      <c r="C103" s="1" t="str">
        <f t="shared" si="15"/>
        <v/>
      </c>
      <c r="D103">
        <f>IF(F103=1,"",IF(AND(D102="",S102=S103),"",S103-SUM(F$2:F102)))</f>
        <v>65</v>
      </c>
      <c r="E103" t="str">
        <f t="shared" si="16"/>
        <v>0</v>
      </c>
      <c r="F103">
        <v>0</v>
      </c>
      <c r="M103" t="str">
        <f t="shared" si="17"/>
        <v/>
      </c>
      <c r="N103" t="str">
        <f t="shared" si="18"/>
        <v>jo5c00670_si_001.xyz</v>
      </c>
      <c r="O103" t="b">
        <f t="shared" si="19"/>
        <v>1</v>
      </c>
      <c r="P103" s="13" t="s">
        <v>242</v>
      </c>
      <c r="Q103" s="13" t="s">
        <v>243</v>
      </c>
      <c r="R103" t="str">
        <f t="shared" si="20"/>
        <v>001</v>
      </c>
      <c r="S103">
        <f t="shared" si="26"/>
        <v>78</v>
      </c>
      <c r="T103" s="13" t="str">
        <f>VLOOKUP(Q103,original!B:C,2,FALSE)</f>
        <v>1,3-Dipolar Cycloaddition of Nitrile Imines to 2‑Imino-thiazolo[3,2‑a]pyrimidin-3-ones: Dipole-Initiated Thiazolone-Imidazolone Rearrangement</v>
      </c>
      <c r="U103" s="13" t="s">
        <v>241</v>
      </c>
      <c r="V103" t="str">
        <f t="shared" si="21"/>
        <v>jo5c00670</v>
      </c>
      <c r="W103" t="str">
        <f t="shared" si="22"/>
        <v>jo5c00670_si_001.zip</v>
      </c>
      <c r="X103" t="str">
        <f t="shared" si="23"/>
        <v>https://acs.figshare.com/articles/dataset/1_3-Dipolar_Cycloaddition_of_Nitrile_Imines_to_2_Imino-thiazolo_3_2_i_a_i_pyrimidin-3-ones_Dipole-Initiated_Thiazolone-Imidazolone_Rearrangement/30327748</v>
      </c>
      <c r="Y103" s="1" t="str">
        <f t="shared" si="27"/>
        <v/>
      </c>
      <c r="Z103" t="str">
        <f t="shared" si="24"/>
        <v>&lt;br&gt;&lt;a href="https://doi.org/10.1021/acs.joc.5c00670.s001"&gt;https://doi.org/10.1021/acs.joc.5c00670.s001&lt;/a&gt;</v>
      </c>
      <c r="AA103" t="str">
        <f t="shared" si="25"/>
        <v/>
      </c>
    </row>
    <row r="104" spans="1:27" x14ac:dyDescent="0.35">
      <c r="A104">
        <v>103</v>
      </c>
      <c r="B104" s="5" t="str">
        <f t="shared" si="14"/>
        <v>jo5c00670</v>
      </c>
      <c r="C104" s="1" t="str">
        <f t="shared" si="15"/>
        <v>jo5c00670</v>
      </c>
      <c r="D104">
        <f>IF(F104=1,"",IF(AND(D103="",S103=S104),"",S104-SUM(F$2:F103)))</f>
        <v>65</v>
      </c>
      <c r="E104" t="str">
        <f t="shared" si="16"/>
        <v>1</v>
      </c>
      <c r="F104">
        <v>0</v>
      </c>
      <c r="H104">
        <v>39</v>
      </c>
      <c r="I104">
        <v>41</v>
      </c>
      <c r="M104" t="str">
        <f t="shared" si="17"/>
        <v>/*65 jo5c00670 */"https://doi.org/10.1021/acs.joc.5c00670.s002",//1,3-Dipolar Cycloaddition of Nitrile Imines to 2‑Imino-thiazolo[3,2‑a]pyrimidin-3-ones: Dipole-Initiated Thiazolone-Imidazolone Rearrangement</v>
      </c>
      <c r="N104" t="e">
        <f t="shared" si="18"/>
        <v>#N/A</v>
      </c>
      <c r="O104" t="b">
        <f t="shared" si="19"/>
        <v>0</v>
      </c>
      <c r="P104" s="13" t="s">
        <v>239</v>
      </c>
      <c r="Q104" s="13" t="s">
        <v>240</v>
      </c>
      <c r="R104" t="str">
        <f t="shared" si="20"/>
        <v>002</v>
      </c>
      <c r="S104">
        <f t="shared" si="26"/>
        <v>78</v>
      </c>
      <c r="T104" s="13" t="str">
        <f>VLOOKUP(Q104,original!B:C,2,FALSE)</f>
        <v>1,3-Dipolar Cycloaddition of Nitrile Imines to 2‑Imino-thiazolo[3,2‑a]pyrimidin-3-ones: Dipole-Initiated Thiazolone-Imidazolone Rearrangement</v>
      </c>
      <c r="U104" s="13" t="s">
        <v>241</v>
      </c>
      <c r="V104" t="str">
        <f t="shared" si="21"/>
        <v>jo5c00670</v>
      </c>
      <c r="W104" t="str">
        <f t="shared" si="22"/>
        <v>jo5c00670_si_002.zip</v>
      </c>
      <c r="X104" t="str">
        <f t="shared" si="23"/>
        <v>https://acs.figshare.com/articles/dataset/1_3-Dipolar_Cycloaddition_of_Nitrile_Imines_to_2_Imino-thiazolo_3_2_i_a_i_pyrimidin-3-ones_Dipole-Initiated_Thiazolone-Imidazolone_Rearrangement/30327748\thttps://acs.figshare.com/articles/dataset/1_3-Dipolar_Cycloaddition_of_Nitrile_Imines_to_2_Imino-thiazolo_3_2_i_a_i_pyrimidin-3-ones_Dipole-Initiated_Thiazolone-Imidazolone_Rearrangement/30327751</v>
      </c>
      <c r="Y104" s="1" t="str">
        <f t="shared" si="27"/>
        <v>--localSource c:/temp/acs2/data --targetDir c:/temp/acs2/$DOI$ --noDownload --readOnly  --pubDOI https://doi.org/10.1021/acs.joc.5c00670 --dataDOI "10.1021/acs.joc.5c00670https://acs.figshare.com/articles/dataset/1_3-Dipolar_Cycloaddition_of_Nitrile_Imines_to_2_Imino-thiazolo_3_2_i_a_i_pyrimidin-3-ones_Dipole-Initiated_Thiazolone-Imidazolone_Rearrangement/30327748\thttps://acs.figshare.com/articles/dataset/1_3-Dipolar_Cycloaddition_of_Nitrile_Imines_to_2_Imino-thiazolo_3_2_i_a_i_pyrimidin-3-ones_Dipole-Initiated_Thiazolone-Imidazolone_Rearrangement/30327751"</v>
      </c>
      <c r="Z104" t="str">
        <f t="shared" si="24"/>
        <v>&lt;br&gt;&lt;a href="https://doi.org/10.1021/acs.joc.5c00670.s002"&gt;https://doi.org/10.1021/acs.joc.5c00670.s002&lt;/a&gt;</v>
      </c>
      <c r="AA104" t="str">
        <f t="shared" si="25"/>
        <v/>
      </c>
    </row>
    <row r="105" spans="1:27" x14ac:dyDescent="0.35">
      <c r="A105">
        <v>104</v>
      </c>
      <c r="B105" s="5" t="str">
        <f t="shared" si="14"/>
        <v>jo5c00717</v>
      </c>
      <c r="C105" s="1" t="str">
        <f t="shared" si="15"/>
        <v>#jo5c00717 pulse sequences only</v>
      </c>
      <c r="D105" t="str">
        <f>IF(F105=1,"",IF(AND(D104="",S104=S105),"",S105-SUM(F$2:F104)))</f>
        <v/>
      </c>
      <c r="E105" t="str">
        <f t="shared" si="16"/>
        <v>0</v>
      </c>
      <c r="F105">
        <v>1</v>
      </c>
      <c r="G105" t="s">
        <v>1124</v>
      </c>
      <c r="M105" t="str">
        <f t="shared" si="17"/>
        <v/>
      </c>
      <c r="N105" t="e">
        <f t="shared" si="18"/>
        <v>#N/A</v>
      </c>
      <c r="O105" t="b">
        <f t="shared" si="19"/>
        <v>0</v>
      </c>
      <c r="P105" s="13" t="s">
        <v>626</v>
      </c>
      <c r="Q105" s="13" t="s">
        <v>627</v>
      </c>
      <c r="R105" t="str">
        <f t="shared" si="20"/>
        <v>002</v>
      </c>
      <c r="S105">
        <f t="shared" si="26"/>
        <v>79</v>
      </c>
      <c r="T105" s="13" t="str">
        <f>VLOOKUP(Q105,original!B:C,2,FALSE)</f>
        <v>Slice-Selective NMR for Quantitative Analysis of Liquid–Liquid Biphasic Systems: A Tool for Organic Chemists</v>
      </c>
      <c r="U105" s="13" t="s">
        <v>628</v>
      </c>
      <c r="V105" t="str">
        <f t="shared" si="21"/>
        <v>jo5c00717</v>
      </c>
      <c r="W105" t="str">
        <f t="shared" si="22"/>
        <v>jo5c00717_si_002.zip</v>
      </c>
      <c r="X105" t="str">
        <f t="shared" si="23"/>
        <v>https://acs.figshare.com/articles/dataset/Slice-Selective_NMR_for_Quantitative_Analysis_of_Liquid_Liquid_Biphasic_Systems_A_Tool_for_Organic_Chemists/29210499</v>
      </c>
      <c r="Y105" s="1" t="str">
        <f t="shared" si="27"/>
        <v>--localSource c:/temp/acs2/data --targetDir c:/temp/acs2/$DOI$ --noDownload --readOnly  --pubDOI https://doi.org/10.1021/acs.joc.5c00717 --dataDOI "10.1021/acs.joc.5c00717https://acs.figshare.com/articles/dataset/Slice-Selective_NMR_for_Quantitative_Analysis_of_Liquid_Liquid_Biphasic_Systems_A_Tool_for_Organic_Chemists/29210499"</v>
      </c>
      <c r="Z105" t="str">
        <f t="shared" si="24"/>
        <v>&lt;br&gt;&lt;a href="https://doi.org/10.1021/acs.joc.5c00717.s002"&gt;https://doi.org/10.1021/acs.joc.5c00717.s002&lt;/a&gt;</v>
      </c>
      <c r="AA105" t="str">
        <f t="shared" si="25"/>
        <v/>
      </c>
    </row>
    <row r="106" spans="1:27" x14ac:dyDescent="0.35">
      <c r="A106">
        <v>105</v>
      </c>
      <c r="B106" s="5" t="str">
        <f t="shared" si="14"/>
        <v>jo5c00726</v>
      </c>
      <c r="C106" s="1" t="str">
        <f t="shared" si="15"/>
        <v xml:space="preserve">#jo5c00726 </v>
      </c>
      <c r="D106" t="str">
        <f>IF(F106=1,"",IF(AND(D105="",S105=S106),"",S106-SUM(F$2:F105)))</f>
        <v/>
      </c>
      <c r="E106" t="str">
        <f t="shared" si="16"/>
        <v>0</v>
      </c>
      <c r="F106">
        <v>1</v>
      </c>
      <c r="M106" t="str">
        <f t="shared" si="17"/>
        <v/>
      </c>
      <c r="N106" t="str">
        <f t="shared" si="18"/>
        <v>jo5c00726_si_001.xyz</v>
      </c>
      <c r="O106" t="b">
        <f t="shared" si="19"/>
        <v>1</v>
      </c>
      <c r="P106" s="13" t="s">
        <v>563</v>
      </c>
      <c r="Q106" s="13" t="s">
        <v>564</v>
      </c>
      <c r="R106" t="str">
        <f t="shared" si="20"/>
        <v>001</v>
      </c>
      <c r="S106">
        <f t="shared" si="26"/>
        <v>80</v>
      </c>
      <c r="T106" s="13" t="str">
        <f>VLOOKUP(Q106,original!B:C,2,FALSE)</f>
        <v>The Mechanism of the Rappe RearrangementA Stereochemical Investigation Using Density Functional Theory</v>
      </c>
      <c r="U106" s="13" t="s">
        <v>565</v>
      </c>
      <c r="V106" t="str">
        <f t="shared" si="21"/>
        <v>jo5c00726</v>
      </c>
      <c r="W106" t="str">
        <f t="shared" si="22"/>
        <v>jo5c00726_si_001.zip</v>
      </c>
      <c r="X106" t="str">
        <f t="shared" si="23"/>
        <v>https://acs.figshare.com/articles/dataset/The_Mechanism_of_the_Rappe_Rearrangement_A_Stereochemical_Investigation_Using_Density_Functional_Theory/29371934</v>
      </c>
      <c r="Y106" s="1" t="str">
        <f t="shared" si="27"/>
        <v>--localSource c:/temp/acs2/data --targetDir c:/temp/acs2/$DOI$ --noDownload --readOnly  --pubDOI https://doi.org/10.1021/acs.joc.5c00726 --dataDOI "10.1021/acs.joc.5c00726https://acs.figshare.com/articles/dataset/The_Mechanism_of_the_Rappe_Rearrangement_A_Stereochemical_Investigation_Using_Density_Functional_Theory/29371934"</v>
      </c>
      <c r="Z106" t="str">
        <f t="shared" si="24"/>
        <v>&lt;br&gt;&lt;a href="https://doi.org/10.1021/acs.joc.5c00726.s001"&gt;https://doi.org/10.1021/acs.joc.5c00726.s001&lt;/a&gt;</v>
      </c>
      <c r="AA106" t="str">
        <f t="shared" si="25"/>
        <v/>
      </c>
    </row>
    <row r="107" spans="1:27" x14ac:dyDescent="0.35">
      <c r="A107">
        <v>106</v>
      </c>
      <c r="B107" s="5" t="str">
        <f t="shared" si="14"/>
        <v>jo5c00727</v>
      </c>
      <c r="C107" s="1" t="str">
        <f t="shared" si="15"/>
        <v>jo5c00727</v>
      </c>
      <c r="D107">
        <f>IF(F107=1,"",IF(AND(D106="",S106=S107),"",S107-SUM(F$2:F106)))</f>
        <v>66</v>
      </c>
      <c r="E107" t="str">
        <f t="shared" si="16"/>
        <v>0</v>
      </c>
      <c r="F107">
        <v>0</v>
      </c>
      <c r="H107">
        <v>7</v>
      </c>
      <c r="I107">
        <v>43</v>
      </c>
      <c r="M107" t="str">
        <f t="shared" si="17"/>
        <v>/*66 jo5c00727 */"https://doi.org/10.1021/acs.joc.5c00727.s002",//Regiodivergence in the Cycloadditions between a Cyclic Nitrone and Carbonyl-Type Dipolarophiles</v>
      </c>
      <c r="N107" t="e">
        <f t="shared" si="18"/>
        <v>#N/A</v>
      </c>
      <c r="O107" t="b">
        <f t="shared" si="19"/>
        <v>0</v>
      </c>
      <c r="P107" s="13" t="s">
        <v>425</v>
      </c>
      <c r="Q107" s="13" t="s">
        <v>426</v>
      </c>
      <c r="R107" t="str">
        <f t="shared" si="20"/>
        <v>002</v>
      </c>
      <c r="S107">
        <f t="shared" si="26"/>
        <v>81</v>
      </c>
      <c r="T107" s="13" t="str">
        <f>VLOOKUP(Q107,original!B:C,2,FALSE)</f>
        <v>Regiodivergence in the Cycloadditions between a Cyclic Nitrone and Carbonyl-Type Dipolarophiles</v>
      </c>
      <c r="U107" s="13" t="s">
        <v>428</v>
      </c>
      <c r="V107" t="str">
        <f t="shared" si="21"/>
        <v>jo5c00727</v>
      </c>
      <c r="W107" t="str">
        <f t="shared" si="22"/>
        <v>jo5c00727_si_002.zip</v>
      </c>
      <c r="X107" t="str">
        <f t="shared" si="23"/>
        <v>https://acs.figshare.com/articles/dataset/Regiodivergence_in_the_Cycloadditions_between_a_Cyclic_Nitrone_and_Carbonyl-Type_Dipolarophiles/29670849</v>
      </c>
      <c r="Y107" s="1" t="str">
        <f t="shared" si="27"/>
        <v>--localSource c:/temp/acs2/data --targetDir c:/temp/acs2/$DOI$ --noDownload --readOnly  --pubDOI https://doi.org/10.1021/acs.joc.5c00727 --dataDOI "10.1021/acs.joc.5c00727https://acs.figshare.com/articles/dataset/Regiodivergence_in_the_Cycloadditions_between_a_Cyclic_Nitrone_and_Carbonyl-Type_Dipolarophiles/29670849"</v>
      </c>
      <c r="Z107" t="str">
        <f t="shared" si="24"/>
        <v>&lt;br&gt;&lt;a href="https://doi.org/10.1021/acs.joc.5c00727.s002"&gt;https://doi.org/10.1021/acs.joc.5c00727.s002&lt;/a&gt;</v>
      </c>
      <c r="AA107" t="str">
        <f t="shared" si="25"/>
        <v/>
      </c>
    </row>
    <row r="108" spans="1:27" x14ac:dyDescent="0.35">
      <c r="A108">
        <v>107</v>
      </c>
      <c r="B108" s="5" t="str">
        <f t="shared" si="14"/>
        <v>jo5c00741</v>
      </c>
      <c r="C108" s="1" t="str">
        <f t="shared" si="15"/>
        <v/>
      </c>
      <c r="D108">
        <f>IF(F108=1,"",IF(AND(D107="",S107=S108),"",S108-SUM(F$2:F107)))</f>
        <v>67</v>
      </c>
      <c r="E108" t="str">
        <f t="shared" si="16"/>
        <v>0</v>
      </c>
      <c r="F108">
        <v>0</v>
      </c>
      <c r="M108" t="str">
        <f t="shared" si="17"/>
        <v>/*67 jo5c00741 */"https://doi.org/10.1021/acs.joc.5c00741.s001",//Photocyclization of 8‑Aryloxybenzo[e][1,2,4]triazines Revisited: Unambiguous Structural Assignment of Planar Blatter Radicals by Correlation NMR Spectroscopy</v>
      </c>
      <c r="N108" t="e">
        <f t="shared" si="18"/>
        <v>#N/A</v>
      </c>
      <c r="O108" t="b">
        <f t="shared" si="19"/>
        <v>0</v>
      </c>
      <c r="P108" s="13" t="s">
        <v>541</v>
      </c>
      <c r="Q108" s="13" t="s">
        <v>542</v>
      </c>
      <c r="R108" t="str">
        <f t="shared" si="20"/>
        <v>001</v>
      </c>
      <c r="S108">
        <f t="shared" si="26"/>
        <v>82</v>
      </c>
      <c r="T108" s="13" t="str">
        <f>VLOOKUP(Q108,original!B:C,2,FALSE)</f>
        <v>Photocyclization of 8‑Aryloxybenzo[e][1,2,4]triazines Revisited: Unambiguous Structural Assignment of Planar Blatter Radicals by Correlation NMR Spectroscopy</v>
      </c>
      <c r="U108" s="13" t="s">
        <v>524</v>
      </c>
      <c r="V108" t="str">
        <f t="shared" si="21"/>
        <v>jo5c00741</v>
      </c>
      <c r="W108" t="str">
        <f t="shared" si="22"/>
        <v>jo5c00741_si_001.zip</v>
      </c>
      <c r="X108" t="str">
        <f t="shared" si="23"/>
        <v>https://acs.figshare.com/articles/dataset/Photocyclization_of_8_Aryloxybenzo_i_e_i_1_2_4_triazines_Revisited_Unambiguous_Structural_Assignment_of_Planar_Blatter_Radicals_by_Correlation_NMR_Spectroscopy/29429314</v>
      </c>
      <c r="Y108" s="1" t="str">
        <f t="shared" si="27"/>
        <v/>
      </c>
      <c r="Z108" t="str">
        <f t="shared" si="24"/>
        <v>&lt;br&gt;&lt;a href="https://doi.org/10.1021/acs.joc.5c00741.s001"&gt;https://doi.org/10.1021/acs.joc.5c00741.s001&lt;/a&gt;</v>
      </c>
      <c r="AA108" t="str">
        <f t="shared" si="25"/>
        <v/>
      </c>
    </row>
    <row r="109" spans="1:27" x14ac:dyDescent="0.35">
      <c r="A109">
        <v>108</v>
      </c>
      <c r="B109" s="5" t="str">
        <f t="shared" si="14"/>
        <v>jo5c00741</v>
      </c>
      <c r="C109" s="1" t="str">
        <f t="shared" si="15"/>
        <v/>
      </c>
      <c r="D109">
        <f>IF(F109=1,"",IF(AND(D108="",S108=S109),"",S109-SUM(F$2:F108)))</f>
        <v>67</v>
      </c>
      <c r="E109" t="str">
        <f t="shared" si="16"/>
        <v>1</v>
      </c>
      <c r="F109">
        <v>0</v>
      </c>
      <c r="M109" t="str">
        <f t="shared" si="17"/>
        <v>/*67 jo5c00741 */"https://doi.org/10.1021/acs.joc.5c00741.s002",//Photocyclization of 8‑Aryloxybenzo[e][1,2,4]triazines Revisited: Unambiguous Structural Assignment of Planar Blatter Radicals by Correlation NMR Spectroscopy</v>
      </c>
      <c r="N109" t="e">
        <f t="shared" si="18"/>
        <v>#N/A</v>
      </c>
      <c r="O109" t="b">
        <f t="shared" si="19"/>
        <v>0</v>
      </c>
      <c r="P109" s="13" t="s">
        <v>539</v>
      </c>
      <c r="Q109" s="13" t="s">
        <v>540</v>
      </c>
      <c r="R109" t="str">
        <f t="shared" si="20"/>
        <v>002</v>
      </c>
      <c r="S109">
        <f t="shared" si="26"/>
        <v>82</v>
      </c>
      <c r="T109" s="13" t="str">
        <f>VLOOKUP(Q109,original!B:C,2,FALSE)</f>
        <v>Photocyclization of 8‑Aryloxybenzo[e][1,2,4]triazines Revisited: Unambiguous Structural Assignment of Planar Blatter Radicals by Correlation NMR Spectroscopy</v>
      </c>
      <c r="U109" s="13" t="s">
        <v>524</v>
      </c>
      <c r="V109" t="str">
        <f t="shared" si="21"/>
        <v>jo5c00741</v>
      </c>
      <c r="W109" t="str">
        <f t="shared" si="22"/>
        <v>jo5c00741_si_002.zip</v>
      </c>
      <c r="X109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</v>
      </c>
      <c r="Y109" s="1" t="str">
        <f t="shared" si="27"/>
        <v/>
      </c>
      <c r="Z109" t="str">
        <f t="shared" si="24"/>
        <v>&lt;br&gt;&lt;a href="https://doi.org/10.1021/acs.joc.5c00741.s002"&gt;https://doi.org/10.1021/acs.joc.5c00741.s002&lt;/a&gt;</v>
      </c>
      <c r="AA109" t="str">
        <f t="shared" si="25"/>
        <v/>
      </c>
    </row>
    <row r="110" spans="1:27" x14ac:dyDescent="0.35">
      <c r="A110">
        <v>109</v>
      </c>
      <c r="B110" s="5" t="str">
        <f t="shared" si="14"/>
        <v>jo5c00741</v>
      </c>
      <c r="C110" s="1" t="str">
        <f t="shared" si="15"/>
        <v/>
      </c>
      <c r="D110">
        <f>IF(F110=1,"",IF(AND(D109="",S109=S110),"",S110-SUM(F$2:F109)))</f>
        <v>67</v>
      </c>
      <c r="E110" t="str">
        <f t="shared" si="16"/>
        <v>1</v>
      </c>
      <c r="F110">
        <v>0</v>
      </c>
      <c r="M110" t="str">
        <f t="shared" si="17"/>
        <v>/*67 jo5c00741 */"https://doi.org/10.1021/acs.joc.5c00741.s003",//Photocyclization of 8‑Aryloxybenzo[e][1,2,4]triazines Revisited: Unambiguous Structural Assignment of Planar Blatter Radicals by Correlation NMR Spectroscopy</v>
      </c>
      <c r="N110" t="e">
        <f t="shared" si="18"/>
        <v>#N/A</v>
      </c>
      <c r="O110" t="b">
        <f t="shared" si="19"/>
        <v>0</v>
      </c>
      <c r="P110" s="13" t="s">
        <v>537</v>
      </c>
      <c r="Q110" s="13" t="s">
        <v>538</v>
      </c>
      <c r="R110" t="str">
        <f t="shared" si="20"/>
        <v>003</v>
      </c>
      <c r="S110">
        <f t="shared" si="26"/>
        <v>82</v>
      </c>
      <c r="T110" s="13" t="str">
        <f>VLOOKUP(Q110,original!B:C,2,FALSE)</f>
        <v>Photocyclization of 8‑Aryloxybenzo[e][1,2,4]triazines Revisited: Unambiguous Structural Assignment of Planar Blatter Radicals by Correlation NMR Spectroscopy</v>
      </c>
      <c r="U110" s="13" t="s">
        <v>524</v>
      </c>
      <c r="V110" t="str">
        <f t="shared" si="21"/>
        <v>jo5c00741</v>
      </c>
      <c r="W110" t="str">
        <f t="shared" si="22"/>
        <v>jo5c00741_si_003.zip</v>
      </c>
      <c r="X110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</v>
      </c>
      <c r="Y110" s="1" t="str">
        <f t="shared" si="27"/>
        <v/>
      </c>
      <c r="Z110" t="str">
        <f t="shared" si="24"/>
        <v>&lt;br&gt;&lt;a href="https://doi.org/10.1021/acs.joc.5c00741.s003"&gt;https://doi.org/10.1021/acs.joc.5c00741.s003&lt;/a&gt;</v>
      </c>
      <c r="AA110" t="str">
        <f t="shared" si="25"/>
        <v/>
      </c>
    </row>
    <row r="111" spans="1:27" x14ac:dyDescent="0.35">
      <c r="A111">
        <v>110</v>
      </c>
      <c r="B111" s="5" t="str">
        <f t="shared" si="14"/>
        <v>jo5c00741</v>
      </c>
      <c r="C111" s="1" t="str">
        <f t="shared" si="15"/>
        <v/>
      </c>
      <c r="D111">
        <f>IF(F111=1,"",IF(AND(D110="",S110=S111),"",S111-SUM(F$2:F110)))</f>
        <v>67</v>
      </c>
      <c r="E111" t="str">
        <f t="shared" si="16"/>
        <v>1</v>
      </c>
      <c r="F111">
        <v>0</v>
      </c>
      <c r="M111" t="str">
        <f t="shared" si="17"/>
        <v>/*67 jo5c00741 */"https://doi.org/10.1021/acs.joc.5c00741.s004",//Photocyclization of 8‑Aryloxybenzo[e][1,2,4]triazines Revisited: Unambiguous Structural Assignment of Planar Blatter Radicals by Correlation NMR Spectroscopy</v>
      </c>
      <c r="N111" t="e">
        <f t="shared" si="18"/>
        <v>#N/A</v>
      </c>
      <c r="O111" t="b">
        <f t="shared" si="19"/>
        <v>0</v>
      </c>
      <c r="P111" s="13" t="s">
        <v>535</v>
      </c>
      <c r="Q111" s="13" t="s">
        <v>536</v>
      </c>
      <c r="R111" t="str">
        <f t="shared" si="20"/>
        <v>004</v>
      </c>
      <c r="S111">
        <f t="shared" si="26"/>
        <v>82</v>
      </c>
      <c r="T111" s="13" t="str">
        <f>VLOOKUP(Q111,original!B:C,2,FALSE)</f>
        <v>Photocyclization of 8‑Aryloxybenzo[e][1,2,4]triazines Revisited: Unambiguous Structural Assignment of Planar Blatter Radicals by Correlation NMR Spectroscopy</v>
      </c>
      <c r="U111" s="13" t="s">
        <v>524</v>
      </c>
      <c r="V111" t="str">
        <f t="shared" si="21"/>
        <v>jo5c00741</v>
      </c>
      <c r="W111" t="str">
        <f t="shared" si="22"/>
        <v>jo5c00741_si_004.zip</v>
      </c>
      <c r="X111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</v>
      </c>
      <c r="Y111" s="1" t="str">
        <f t="shared" si="27"/>
        <v/>
      </c>
      <c r="Z111" t="str">
        <f t="shared" si="24"/>
        <v>&lt;br&gt;&lt;a href="https://doi.org/10.1021/acs.joc.5c00741.s004"&gt;https://doi.org/10.1021/acs.joc.5c00741.s004&lt;/a&gt;</v>
      </c>
      <c r="AA111" t="str">
        <f t="shared" si="25"/>
        <v/>
      </c>
    </row>
    <row r="112" spans="1:27" x14ac:dyDescent="0.35">
      <c r="A112">
        <v>111</v>
      </c>
      <c r="B112" s="5" t="str">
        <f t="shared" si="14"/>
        <v>jo5c00741</v>
      </c>
      <c r="C112" s="1" t="str">
        <f t="shared" si="15"/>
        <v/>
      </c>
      <c r="D112">
        <f>IF(F112=1,"",IF(AND(D111="",S111=S112),"",S112-SUM(F$2:F111)))</f>
        <v>67</v>
      </c>
      <c r="E112" t="str">
        <f t="shared" si="16"/>
        <v>1</v>
      </c>
      <c r="F112">
        <v>0</v>
      </c>
      <c r="M112" t="str">
        <f t="shared" si="17"/>
        <v>/*67 jo5c00741 */"https://doi.org/10.1021/acs.joc.5c00741.s005",//Photocyclization of 8‑Aryloxybenzo[e][1,2,4]triazines Revisited: Unambiguous Structural Assignment of Planar Blatter Radicals by Correlation NMR Spectroscopy</v>
      </c>
      <c r="N112" t="e">
        <f t="shared" si="18"/>
        <v>#N/A</v>
      </c>
      <c r="O112" t="b">
        <f t="shared" si="19"/>
        <v>0</v>
      </c>
      <c r="P112" s="13" t="s">
        <v>533</v>
      </c>
      <c r="Q112" s="13" t="s">
        <v>534</v>
      </c>
      <c r="R112" t="str">
        <f t="shared" si="20"/>
        <v>005</v>
      </c>
      <c r="S112">
        <f t="shared" si="26"/>
        <v>82</v>
      </c>
      <c r="T112" s="13" t="str">
        <f>VLOOKUP(Q112,original!B:C,2,FALSE)</f>
        <v>Photocyclization of 8‑Aryloxybenzo[e][1,2,4]triazines Revisited: Unambiguous Structural Assignment of Planar Blatter Radicals by Correlation NMR Spectroscopy</v>
      </c>
      <c r="U112" s="13" t="s">
        <v>524</v>
      </c>
      <c r="V112" t="str">
        <f t="shared" si="21"/>
        <v>jo5c00741</v>
      </c>
      <c r="W112" t="str">
        <f t="shared" si="22"/>
        <v>jo5c00741_si_005.zip</v>
      </c>
      <c r="X112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</v>
      </c>
      <c r="Y112" s="1" t="str">
        <f t="shared" si="27"/>
        <v/>
      </c>
      <c r="Z112" t="str">
        <f t="shared" si="24"/>
        <v>&lt;br&gt;&lt;a href="https://doi.org/10.1021/acs.joc.5c00741.s005"&gt;https://doi.org/10.1021/acs.joc.5c00741.s005&lt;/a&gt;</v>
      </c>
      <c r="AA112" t="str">
        <f t="shared" si="25"/>
        <v/>
      </c>
    </row>
    <row r="113" spans="1:27" x14ac:dyDescent="0.35">
      <c r="A113">
        <v>112</v>
      </c>
      <c r="B113" s="5" t="str">
        <f t="shared" si="14"/>
        <v>jo5c00741</v>
      </c>
      <c r="C113" s="1" t="str">
        <f t="shared" si="15"/>
        <v/>
      </c>
      <c r="D113">
        <f>IF(F113=1,"",IF(AND(D112="",S112=S113),"",S113-SUM(F$2:F112)))</f>
        <v>67</v>
      </c>
      <c r="E113" t="str">
        <f t="shared" si="16"/>
        <v>1</v>
      </c>
      <c r="F113">
        <v>0</v>
      </c>
      <c r="M113" t="str">
        <f t="shared" si="17"/>
        <v>/*67 jo5c00741 */"https://doi.org/10.1021/acs.joc.5c00741.s006",//Photocyclization of 8‑Aryloxybenzo[e][1,2,4]triazines Revisited: Unambiguous Structural Assignment of Planar Blatter Radicals by Correlation NMR Spectroscopy</v>
      </c>
      <c r="N113" t="e">
        <f t="shared" si="18"/>
        <v>#N/A</v>
      </c>
      <c r="O113" t="b">
        <f t="shared" si="19"/>
        <v>0</v>
      </c>
      <c r="P113" s="13" t="s">
        <v>531</v>
      </c>
      <c r="Q113" s="13" t="s">
        <v>532</v>
      </c>
      <c r="R113" t="str">
        <f t="shared" si="20"/>
        <v>006</v>
      </c>
      <c r="S113">
        <f t="shared" si="26"/>
        <v>82</v>
      </c>
      <c r="T113" s="13" t="str">
        <f>VLOOKUP(Q113,original!B:C,2,FALSE)</f>
        <v>Photocyclization of 8‑Aryloxybenzo[e][1,2,4]triazines Revisited: Unambiguous Structural Assignment of Planar Blatter Radicals by Correlation NMR Spectroscopy</v>
      </c>
      <c r="U113" s="13" t="s">
        <v>524</v>
      </c>
      <c r="V113" t="str">
        <f t="shared" si="21"/>
        <v>jo5c00741</v>
      </c>
      <c r="W113" t="str">
        <f t="shared" si="22"/>
        <v>jo5c00741_si_006.zip</v>
      </c>
      <c r="X113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\thttps://acs.figshare.com/articles/dataset/Photocyclization_of_8_Aryloxybenzo_i_e_i_1_2_4_triazines_Revisited_Unambiguous_Structural_Assignment_of_Planar_Blatter_Radicals_by_Correlation_NMR_Spectroscopy/29429329</v>
      </c>
      <c r="Y113" s="1" t="str">
        <f t="shared" si="27"/>
        <v/>
      </c>
      <c r="Z113" t="str">
        <f t="shared" si="24"/>
        <v>&lt;br&gt;&lt;a href="https://doi.org/10.1021/acs.joc.5c00741.s006"&gt;https://doi.org/10.1021/acs.joc.5c00741.s006&lt;/a&gt;</v>
      </c>
      <c r="AA113" t="str">
        <f t="shared" si="25"/>
        <v/>
      </c>
    </row>
    <row r="114" spans="1:27" x14ac:dyDescent="0.35">
      <c r="A114">
        <v>113</v>
      </c>
      <c r="B114" s="5" t="str">
        <f t="shared" si="14"/>
        <v>jo5c00741</v>
      </c>
      <c r="C114" s="1" t="str">
        <f t="shared" si="15"/>
        <v/>
      </c>
      <c r="D114">
        <f>IF(F114=1,"",IF(AND(D113="",S113=S114),"",S114-SUM(F$2:F113)))</f>
        <v>67</v>
      </c>
      <c r="E114" t="str">
        <f t="shared" si="16"/>
        <v>1</v>
      </c>
      <c r="F114">
        <v>0</v>
      </c>
      <c r="M114" t="str">
        <f t="shared" si="17"/>
        <v>/*67 jo5c00741 */"https://doi.org/10.1021/acs.joc.5c00741.s007",//Photocyclization of 8‑Aryloxybenzo[e][1,2,4]triazines Revisited: Unambiguous Structural Assignment of Planar Blatter Radicals by Correlation NMR Spectroscopy</v>
      </c>
      <c r="N114" t="e">
        <f t="shared" si="18"/>
        <v>#N/A</v>
      </c>
      <c r="O114" t="b">
        <f t="shared" si="19"/>
        <v>0</v>
      </c>
      <c r="P114" s="13" t="s">
        <v>529</v>
      </c>
      <c r="Q114" s="13" t="s">
        <v>530</v>
      </c>
      <c r="R114" t="str">
        <f t="shared" si="20"/>
        <v>007</v>
      </c>
      <c r="S114">
        <f t="shared" si="26"/>
        <v>82</v>
      </c>
      <c r="T114" s="13" t="str">
        <f>VLOOKUP(Q114,original!B:C,2,FALSE)</f>
        <v>Photocyclization of 8‑Aryloxybenzo[e][1,2,4]triazines Revisited: Unambiguous Structural Assignment of Planar Blatter Radicals by Correlation NMR Spectroscopy</v>
      </c>
      <c r="U114" s="13" t="s">
        <v>524</v>
      </c>
      <c r="V114" t="str">
        <f t="shared" si="21"/>
        <v>jo5c00741</v>
      </c>
      <c r="W114" t="str">
        <f t="shared" si="22"/>
        <v>jo5c00741_si_007.zip</v>
      </c>
      <c r="X114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\thttps://acs.figshare.com/articles/dataset/Photocyclization_of_8_Aryloxybenzo_i_e_i_1_2_4_triazines_Revisited_Unambiguous_Structural_Assignment_of_Planar_Blatter_Radicals_by_Correlation_NMR_Spectroscopy/29429329\thttps://acs.figshare.com/articles/dataset/Photocyclization_of_8_Aryloxybenzo_i_e_i_1_2_4_triazines_Revisited_Unambiguous_Structural_Assignment_of_Planar_Blatter_Radicals_by_Correlation_NMR_Spectroscopy/29429332</v>
      </c>
      <c r="Y114" s="1" t="str">
        <f t="shared" si="27"/>
        <v/>
      </c>
      <c r="Z114" t="str">
        <f t="shared" si="24"/>
        <v>&lt;br&gt;&lt;a href="https://doi.org/10.1021/acs.joc.5c00741.s007"&gt;https://doi.org/10.1021/acs.joc.5c00741.s007&lt;/a&gt;</v>
      </c>
      <c r="AA114" t="str">
        <f t="shared" si="25"/>
        <v/>
      </c>
    </row>
    <row r="115" spans="1:27" x14ac:dyDescent="0.35">
      <c r="A115">
        <v>114</v>
      </c>
      <c r="B115" s="5" t="str">
        <f t="shared" si="14"/>
        <v>jo5c00741</v>
      </c>
      <c r="C115" s="1" t="str">
        <f t="shared" si="15"/>
        <v/>
      </c>
      <c r="D115">
        <f>IF(F115=1,"",IF(AND(D114="",S114=S115),"",S115-SUM(F$2:F114)))</f>
        <v>67</v>
      </c>
      <c r="E115" t="str">
        <f t="shared" si="16"/>
        <v>1</v>
      </c>
      <c r="F115">
        <v>0</v>
      </c>
      <c r="M115" t="str">
        <f t="shared" si="17"/>
        <v>/*67 jo5c00741 */"https://doi.org/10.1021/acs.joc.5c00741.s008",//Photocyclization of 8‑Aryloxybenzo[e][1,2,4]triazines Revisited: Unambiguous Structural Assignment of Planar Blatter Radicals by Correlation NMR Spectroscopy</v>
      </c>
      <c r="N115" t="e">
        <f t="shared" si="18"/>
        <v>#N/A</v>
      </c>
      <c r="O115" t="b">
        <f t="shared" si="19"/>
        <v>0</v>
      </c>
      <c r="P115" s="13" t="s">
        <v>527</v>
      </c>
      <c r="Q115" s="13" t="s">
        <v>528</v>
      </c>
      <c r="R115" t="str">
        <f t="shared" si="20"/>
        <v>008</v>
      </c>
      <c r="S115">
        <f t="shared" si="26"/>
        <v>82</v>
      </c>
      <c r="T115" s="13" t="str">
        <f>VLOOKUP(Q115,original!B:C,2,FALSE)</f>
        <v>Photocyclization of 8‑Aryloxybenzo[e][1,2,4]triazines Revisited: Unambiguous Structural Assignment of Planar Blatter Radicals by Correlation NMR Spectroscopy</v>
      </c>
      <c r="U115" s="13" t="s">
        <v>524</v>
      </c>
      <c r="V115" t="str">
        <f t="shared" si="21"/>
        <v>jo5c00741</v>
      </c>
      <c r="W115" t="str">
        <f t="shared" si="22"/>
        <v>jo5c00741_si_008.zip</v>
      </c>
      <c r="X115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\thttps://acs.figshare.com/articles/dataset/Photocyclization_of_8_Aryloxybenzo_i_e_i_1_2_4_triazines_Revisited_Unambiguous_Structural_Assignment_of_Planar_Blatter_Radicals_by_Correlation_NMR_Spectroscopy/29429329\thttps://acs.figshare.com/articles/dataset/Photocyclization_of_8_Aryloxybenzo_i_e_i_1_2_4_triazines_Revisited_Unambiguous_Structural_Assignment_of_Planar_Blatter_Radicals_by_Correlation_NMR_Spectroscopy/29429332\thttps://acs.figshare.com/articles/dataset/Photocyclization_of_8_Aryloxybenzo_i_e_i_1_2_4_triazines_Revisited_Unambiguous_Structural_Assignment_of_Planar_Blatter_Radicals_by_Correlation_NMR_Spectroscopy/29429335</v>
      </c>
      <c r="Y115" s="1" t="str">
        <f t="shared" si="27"/>
        <v/>
      </c>
      <c r="Z115" t="str">
        <f t="shared" si="24"/>
        <v>&lt;br&gt;&lt;a href="https://doi.org/10.1021/acs.joc.5c00741.s008"&gt;https://doi.org/10.1021/acs.joc.5c00741.s008&lt;/a&gt;</v>
      </c>
      <c r="AA115" t="str">
        <f t="shared" si="25"/>
        <v/>
      </c>
    </row>
    <row r="116" spans="1:27" x14ac:dyDescent="0.35">
      <c r="A116">
        <v>115</v>
      </c>
      <c r="B116" s="5" t="str">
        <f t="shared" si="14"/>
        <v>jo5c00741</v>
      </c>
      <c r="C116" s="1" t="str">
        <f t="shared" si="15"/>
        <v/>
      </c>
      <c r="D116">
        <f>IF(F116=1,"",IF(AND(D115="",S115=S116),"",S116-SUM(F$2:F115)))</f>
        <v>67</v>
      </c>
      <c r="E116" t="str">
        <f t="shared" si="16"/>
        <v>1</v>
      </c>
      <c r="F116">
        <v>0</v>
      </c>
      <c r="M116" t="str">
        <f t="shared" si="17"/>
        <v>/*67 jo5c00741 */"https://doi.org/10.1021/acs.joc.5c00741.s009",//Photocyclization of 8‑Aryloxybenzo[e][1,2,4]triazines Revisited: Unambiguous Structural Assignment of Planar Blatter Radicals by Correlation NMR Spectroscopy</v>
      </c>
      <c r="N116" t="e">
        <f t="shared" si="18"/>
        <v>#N/A</v>
      </c>
      <c r="O116" t="b">
        <f t="shared" si="19"/>
        <v>0</v>
      </c>
      <c r="P116" s="13" t="s">
        <v>525</v>
      </c>
      <c r="Q116" s="13" t="s">
        <v>526</v>
      </c>
      <c r="R116" t="str">
        <f t="shared" si="20"/>
        <v>009</v>
      </c>
      <c r="S116">
        <f t="shared" si="26"/>
        <v>82</v>
      </c>
      <c r="T116" s="13" t="str">
        <f>VLOOKUP(Q116,original!B:C,2,FALSE)</f>
        <v>Photocyclization of 8‑Aryloxybenzo[e][1,2,4]triazines Revisited: Unambiguous Structural Assignment of Planar Blatter Radicals by Correlation NMR Spectroscopy</v>
      </c>
      <c r="U116" s="13" t="s">
        <v>524</v>
      </c>
      <c r="V116" t="str">
        <f t="shared" si="21"/>
        <v>jo5c00741</v>
      </c>
      <c r="W116" t="str">
        <f t="shared" si="22"/>
        <v>jo5c00741_si_009.zip</v>
      </c>
      <c r="X116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\thttps://acs.figshare.com/articles/dataset/Photocyclization_of_8_Aryloxybenzo_i_e_i_1_2_4_triazines_Revisited_Unambiguous_Structural_Assignment_of_Planar_Blatter_Radicals_by_Correlation_NMR_Spectroscopy/29429329\thttps://acs.figshare.com/articles/dataset/Photocyclization_of_8_Aryloxybenzo_i_e_i_1_2_4_triazines_Revisited_Unambiguous_Structural_Assignment_of_Planar_Blatter_Radicals_by_Correlation_NMR_Spectroscopy/29429332\thttps://acs.figshare.com/articles/dataset/Photocyclization_of_8_Aryloxybenzo_i_e_i_1_2_4_triazines_Revisited_Unambiguous_Structural_Assignment_of_Planar_Blatter_Radicals_by_Correlation_NMR_Spectroscopy/29429335\thttps://acs.figshare.com/articles/dataset/Photocyclization_of_8_Aryloxybenzo_i_e_i_1_2_4_triazines_Revisited_Unambiguous_Structural_Assignment_of_Planar_Blatter_Radicals_by_Correlation_NMR_Spectroscopy/29429338</v>
      </c>
      <c r="Y116" s="1" t="str">
        <f t="shared" si="27"/>
        <v/>
      </c>
      <c r="Z116" t="str">
        <f t="shared" si="24"/>
        <v>&lt;br&gt;&lt;a href="https://doi.org/10.1021/acs.joc.5c00741.s009"&gt;https://doi.org/10.1021/acs.joc.5c00741.s009&lt;/a&gt;</v>
      </c>
      <c r="AA116" t="str">
        <f t="shared" si="25"/>
        <v/>
      </c>
    </row>
    <row r="117" spans="1:27" x14ac:dyDescent="0.35">
      <c r="A117">
        <v>116</v>
      </c>
      <c r="B117" s="5" t="str">
        <f t="shared" si="14"/>
        <v>jo5c00741</v>
      </c>
      <c r="C117" s="1" t="str">
        <f t="shared" si="15"/>
        <v>jo5c00741</v>
      </c>
      <c r="D117">
        <f>IF(F117=1,"",IF(AND(D116="",S116=S117),"",S117-SUM(F$2:F116)))</f>
        <v>67</v>
      </c>
      <c r="E117" t="str">
        <f t="shared" si="16"/>
        <v>1</v>
      </c>
      <c r="F117">
        <v>0</v>
      </c>
      <c r="H117">
        <v>9</v>
      </c>
      <c r="I117">
        <v>36</v>
      </c>
      <c r="M117" t="str">
        <f t="shared" si="17"/>
        <v>/*67 jo5c00741 */"https://doi.org/10.1021/acs.joc.5c00741.s010",//Photocyclization of 8‑Aryloxybenzo[e][1,2,4]triazines Revisited: Unambiguous Structural Assignment of Planar Blatter Radicals by Correlation NMR Spectroscopy</v>
      </c>
      <c r="N117" t="e">
        <f t="shared" si="18"/>
        <v>#N/A</v>
      </c>
      <c r="O117" t="b">
        <f t="shared" si="19"/>
        <v>0</v>
      </c>
      <c r="P117" s="13" t="s">
        <v>522</v>
      </c>
      <c r="Q117" s="13" t="s">
        <v>523</v>
      </c>
      <c r="R117" t="str">
        <f t="shared" si="20"/>
        <v>010</v>
      </c>
      <c r="S117">
        <f t="shared" si="26"/>
        <v>82</v>
      </c>
      <c r="T117" s="13" t="str">
        <f>VLOOKUP(Q117,original!B:C,2,FALSE)</f>
        <v>Photocyclization of 8‑Aryloxybenzo[e][1,2,4]triazines Revisited: Unambiguous Structural Assignment of Planar Blatter Radicals by Correlation NMR Spectroscopy</v>
      </c>
      <c r="U117" s="13" t="s">
        <v>524</v>
      </c>
      <c r="V117" t="str">
        <f t="shared" si="21"/>
        <v>jo5c00741</v>
      </c>
      <c r="W117" t="str">
        <f t="shared" si="22"/>
        <v>jo5c00741_si_010.zip</v>
      </c>
      <c r="X117" t="str">
        <f t="shared" si="23"/>
        <v>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\thttps://acs.figshare.com/articles/dataset/Photocyclization_of_8_Aryloxybenzo_i_e_i_1_2_4_triazines_Revisited_Unambiguous_Structural_Assignment_of_Planar_Blatter_Radicals_by_Correlation_NMR_Spectroscopy/29429329\thttps://acs.figshare.com/articles/dataset/Photocyclization_of_8_Aryloxybenzo_i_e_i_1_2_4_triazines_Revisited_Unambiguous_Structural_Assignment_of_Planar_Blatter_Radicals_by_Correlation_NMR_Spectroscopy/29429332\thttps://acs.figshare.com/articles/dataset/Photocyclization_of_8_Aryloxybenzo_i_e_i_1_2_4_triazines_Revisited_Unambiguous_Structural_Assignment_of_Planar_Blatter_Radicals_by_Correlation_NMR_Spectroscopy/29429335\thttps://acs.figshare.com/articles/dataset/Photocyclization_of_8_Aryloxybenzo_i_e_i_1_2_4_triazines_Revisited_Unambiguous_Structural_Assignment_of_Planar_Blatter_Radicals_by_Correlation_NMR_Spectroscopy/29429338\thttps://acs.figshare.com/articles/dataset/Photocyclization_of_8_Aryloxybenzo_i_e_i_1_2_4_triazines_Revisited_Unambiguous_Structural_Assignment_of_Planar_Blatter_Radicals_by_Correlation_NMR_Spectroscopy/29429341</v>
      </c>
      <c r="Y117" s="1" t="str">
        <f t="shared" si="27"/>
        <v>--localSource c:/temp/acs2/data --targetDir c:/temp/acs2/$DOI$ --noDownload --readOnly  --pubDOI https://doi.org/10.1021/acs.joc.5c00741 --dataDOI "10.1021/acs.joc.5c00741https://acs.figshare.com/articles/dataset/Photocyclization_of_8_Aryloxybenzo_i_e_i_1_2_4_triazines_Revisited_Unambiguous_Structural_Assignment_of_Planar_Blatter_Radicals_by_Correlation_NMR_Spectroscopy/29429314\thttps://acs.figshare.com/articles/dataset/Photocyclization_of_8_Aryloxybenzo_i_e_i_1_2_4_triazines_Revisited_Unambiguous_Structural_Assignment_of_Planar_Blatter_Radicals_by_Correlation_NMR_Spectroscopy/29429317\thttps://acs.figshare.com/articles/dataset/Photocyclization_of_8_Aryloxybenzo_i_e_i_1_2_4_triazines_Revisited_Unambiguous_Structural_Assignment_of_Planar_Blatter_Radicals_by_Correlation_NMR_Spectroscopy/29429320\thttps://acs.figshare.com/articles/dataset/Photocyclization_of_8_Aryloxybenzo_i_e_i_1_2_4_triazines_Revisited_Unambiguous_Structural_Assignment_of_Planar_Blatter_Radicals_by_Correlation_NMR_Spectroscopy/29429323\thttps://acs.figshare.com/articles/dataset/Photocyclization_of_8_Aryloxybenzo_i_e_i_1_2_4_triazines_Revisited_Unambiguous_Structural_Assignment_of_Planar_Blatter_Radicals_by_Correlation_NMR_Spectroscopy/29429326\thttps://acs.figshare.com/articles/dataset/Photocyclization_of_8_Aryloxybenzo_i_e_i_1_2_4_triazines_Revisited_Unambiguous_Structural_Assignment_of_Planar_Blatter_Radicals_by_Correlation_NMR_Spectroscopy/29429329\thttps://acs.figshare.com/articles/dataset/Photocyclization_of_8_Aryloxybenzo_i_e_i_1_2_4_triazines_Revisited_Unambiguous_Structural_Assignment_of_Planar_Blatter_Radicals_by_Correlation_NMR_Spectroscopy/29429332\thttps://acs.figshare.com/articles/dataset/Photocyclization_of_8_Aryloxybenzo_i_e_i_1_2_4_triazines_Revisited_Unambiguous_Structural_Assignment_of_Planar_Blatter_Radicals_by_Correlation_NMR_Spectroscopy/29429335\thttps://acs.figshare.com/articles/dataset/Photocyclization_of_8_Aryloxybenzo_i_e_i_1_2_4_triazines_Revisited_Unambiguous_Structural_Assignment_of_Planar_Blatter_Radicals_by_Correlation_NMR_Spectroscopy/29429338\thttps://acs.figshare.com/articles/dataset/Photocyclization_of_8_Aryloxybenzo_i_e_i_1_2_4_triazines_Revisited_Unambiguous_Structural_Assignment_of_Planar_Blatter_Radicals_by_Correlation_NMR_Spectroscopy/29429341"</v>
      </c>
      <c r="Z117" t="str">
        <f t="shared" si="24"/>
        <v>&lt;br&gt;&lt;a href="https://doi.org/10.1021/acs.joc.5c00741.s010"&gt;https://doi.org/10.1021/acs.joc.5c00741.s010&lt;/a&gt;</v>
      </c>
      <c r="AA117" t="str">
        <f t="shared" si="25"/>
        <v/>
      </c>
    </row>
    <row r="118" spans="1:27" x14ac:dyDescent="0.35">
      <c r="A118">
        <v>117</v>
      </c>
      <c r="B118" s="5" t="str">
        <f t="shared" si="14"/>
        <v>jo5c00744</v>
      </c>
      <c r="C118" s="1" t="str">
        <f t="shared" si="15"/>
        <v xml:space="preserve">#jo5c00744 </v>
      </c>
      <c r="D118" t="str">
        <f>IF(F118=1,"",IF(AND(D117="",S117=S118),"",S118-SUM(F$2:F117)))</f>
        <v/>
      </c>
      <c r="E118" t="str">
        <f t="shared" si="16"/>
        <v>0</v>
      </c>
      <c r="F118">
        <v>1</v>
      </c>
      <c r="M118" t="str">
        <f t="shared" si="17"/>
        <v/>
      </c>
      <c r="N118" t="str">
        <f t="shared" si="18"/>
        <v>jo5c00744_si_002.xyz</v>
      </c>
      <c r="O118" t="b">
        <f t="shared" si="19"/>
        <v>1</v>
      </c>
      <c r="P118" s="13" t="s">
        <v>609</v>
      </c>
      <c r="Q118" s="13" t="s">
        <v>610</v>
      </c>
      <c r="R118" t="str">
        <f t="shared" si="20"/>
        <v>002</v>
      </c>
      <c r="S118">
        <f t="shared" si="26"/>
        <v>83</v>
      </c>
      <c r="T118" s="13" t="str">
        <f>VLOOKUP(Q118,original!B:C,2,FALSE)</f>
        <v>Chalcogen Bonding with Telluronium Cations: toward Selective Population of Tellurium σ‑Holes by Lewis Bases</v>
      </c>
      <c r="U118" s="13" t="s">
        <v>611</v>
      </c>
      <c r="V118" t="str">
        <f t="shared" si="21"/>
        <v>jo5c00744</v>
      </c>
      <c r="W118" t="str">
        <f t="shared" si="22"/>
        <v>jo5c00744_si_002.zip</v>
      </c>
      <c r="X118" t="str">
        <f t="shared" si="23"/>
        <v>https://acs.figshare.com/articles/dataset/Chalcogen_Bonding_with_Telluronium_Cations_toward_Selective_Population_of_Tellurium_Holes_by_Lewis_Bases/29254214</v>
      </c>
      <c r="Y118" s="1" t="str">
        <f t="shared" si="27"/>
        <v>--localSource c:/temp/acs2/data --targetDir c:/temp/acs2/$DOI$ --noDownload --readOnly  --pubDOI https://doi.org/10.1021/acs.joc.5c00744 --dataDOI "10.1021/acs.joc.5c00744https://acs.figshare.com/articles/dataset/Chalcogen_Bonding_with_Telluronium_Cations_toward_Selective_Population_of_Tellurium_Holes_by_Lewis_Bases/29254214"</v>
      </c>
      <c r="Z118" t="str">
        <f t="shared" si="24"/>
        <v>&lt;br&gt;&lt;a href="https://doi.org/10.1021/acs.joc.5c00744.s002"&gt;https://doi.org/10.1021/acs.joc.5c00744.s002&lt;/a&gt;</v>
      </c>
      <c r="AA118" t="str">
        <f t="shared" si="25"/>
        <v/>
      </c>
    </row>
    <row r="119" spans="1:27" x14ac:dyDescent="0.35">
      <c r="A119">
        <v>118</v>
      </c>
      <c r="B119" s="5" t="str">
        <f t="shared" si="14"/>
        <v>jo5c00774</v>
      </c>
      <c r="C119" s="1" t="str">
        <f t="shared" si="15"/>
        <v>jo5c00774</v>
      </c>
      <c r="D119">
        <f>IF(F119=1,"",IF(AND(D118="",S118=S119),"",S119-SUM(F$2:F118)))</f>
        <v>68</v>
      </c>
      <c r="E119" t="str">
        <f t="shared" si="16"/>
        <v>0</v>
      </c>
      <c r="F119">
        <v>0</v>
      </c>
      <c r="H119">
        <v>0</v>
      </c>
      <c r="I119">
        <v>0</v>
      </c>
      <c r="M119" t="str">
        <f t="shared" si="17"/>
        <v>/*68 jo5c00774 */"https://doi.org/10.1021/acs.joc.5c00774.s002",//Inhibited Hydrolysis of 4‑(N,N‑Dimethylamino)aryl Imines in a Weak Acid by Supramolecular Encapsulation inside Cucurbit[7]uril</v>
      </c>
      <c r="N119" t="e">
        <f t="shared" si="18"/>
        <v>#N/A</v>
      </c>
      <c r="O119" t="b">
        <f t="shared" si="19"/>
        <v>0</v>
      </c>
      <c r="P119" s="13" t="s">
        <v>586</v>
      </c>
      <c r="Q119" s="13" t="s">
        <v>587</v>
      </c>
      <c r="R119" t="str">
        <f t="shared" si="20"/>
        <v>002</v>
      </c>
      <c r="S119">
        <f t="shared" si="26"/>
        <v>84</v>
      </c>
      <c r="T119" s="13" t="str">
        <f>VLOOKUP(Q119,original!B:C,2,FALSE)</f>
        <v>Inhibited Hydrolysis of 4‑(N,N‑Dimethylamino)aryl Imines in a Weak Acid by Supramolecular Encapsulation inside Cucurbit[7]uril</v>
      </c>
      <c r="U119" s="13" t="s">
        <v>588</v>
      </c>
      <c r="V119" t="str">
        <f t="shared" si="21"/>
        <v>jo5c00774</v>
      </c>
      <c r="W119" t="str">
        <f t="shared" si="22"/>
        <v>jo5c00774_si_002.zip</v>
      </c>
      <c r="X119" t="str">
        <f t="shared" si="23"/>
        <v>https://acs.figshare.com/articles/dataset/Inhibited_Hydrolysis_of_4_i_N_i_i_N_i_Dimethylamino_aryl_Imines_in_a_Weak_Acid_by_Supramolecular_Encapsulation_inside_Cucurbit_7_uril/29286434</v>
      </c>
      <c r="Y119" s="1" t="str">
        <f t="shared" si="27"/>
        <v>--localSource c:/temp/acs2/data --targetDir c:/temp/acs2/$DOI$ --noDownload --readOnly  --pubDOI https://doi.org/10.1021/acs.joc.5c00774 --dataDOI "10.1021/acs.joc.5c00774https://acs.figshare.com/articles/dataset/Inhibited_Hydrolysis_of_4_i_N_i_i_N_i_Dimethylamino_aryl_Imines_in_a_Weak_Acid_by_Supramolecular_Encapsulation_inside_Cucurbit_7_uril/29286434"</v>
      </c>
      <c r="Z119" t="str">
        <f t="shared" si="24"/>
        <v>&lt;br&gt;&lt;a href="https://doi.org/10.1021/acs.joc.5c00774.s002"&gt;https://doi.org/10.1021/acs.joc.5c00774.s002&lt;/a&gt;</v>
      </c>
      <c r="AA119" t="str">
        <f t="shared" si="25"/>
        <v/>
      </c>
    </row>
    <row r="120" spans="1:27" x14ac:dyDescent="0.35">
      <c r="A120">
        <v>119</v>
      </c>
      <c r="B120" s="5" t="str">
        <f t="shared" si="14"/>
        <v>jo5c00787</v>
      </c>
      <c r="C120" s="1" t="str">
        <f t="shared" si="15"/>
        <v xml:space="preserve">#jo5c00787 </v>
      </c>
      <c r="D120" t="str">
        <f>IF(F120=1,"",IF(AND(D119="",S119=S120),"",S120-SUM(F$2:F119)))</f>
        <v/>
      </c>
      <c r="E120" t="str">
        <f t="shared" si="16"/>
        <v>0</v>
      </c>
      <c r="F120">
        <v>1</v>
      </c>
      <c r="M120" t="str">
        <f t="shared" si="17"/>
        <v/>
      </c>
      <c r="N120" t="str">
        <f t="shared" si="18"/>
        <v>jo5c00787_si_001.xyz</v>
      </c>
      <c r="O120" t="b">
        <f t="shared" si="19"/>
        <v>1</v>
      </c>
      <c r="P120" s="13" t="s">
        <v>433</v>
      </c>
      <c r="Q120" s="13" t="s">
        <v>434</v>
      </c>
      <c r="R120" t="str">
        <f t="shared" si="20"/>
        <v>001</v>
      </c>
      <c r="S120">
        <f t="shared" si="26"/>
        <v>85</v>
      </c>
      <c r="T120" s="13" t="str">
        <f>VLOOKUP(Q120,original!B:C,2,FALSE)</f>
        <v>Solvent-Dependent Change in the Rate-Determining Step of Au(I)-Catalyzed N‑Propargyl Benzamide Cyclization</v>
      </c>
      <c r="U120" s="13" t="s">
        <v>435</v>
      </c>
      <c r="V120" t="str">
        <f t="shared" si="21"/>
        <v>jo5c00787</v>
      </c>
      <c r="W120" t="str">
        <f t="shared" si="22"/>
        <v>jo5c00787_si_001.zip</v>
      </c>
      <c r="X120" t="str">
        <f t="shared" si="23"/>
        <v>https://acs.figshare.com/articles/dataset/Solvent-Dependent_Change_in_the_Rate-Determining_Step_of_Au_I_-Catalyzed_i_N_i_Propargyl_Benzamide_Cyclization/29657192</v>
      </c>
      <c r="Y120" s="1" t="str">
        <f t="shared" si="27"/>
        <v>--localSource c:/temp/acs2/data --targetDir c:/temp/acs2/$DOI$ --noDownload --readOnly  --pubDOI https://doi.org/10.1021/acs.joc.5c00787 --dataDOI "10.1021/acs.joc.5c00787https://acs.figshare.com/articles/dataset/Solvent-Dependent_Change_in_the_Rate-Determining_Step_of_Au_I_-Catalyzed_i_N_i_Propargyl_Benzamide_Cyclization/29657192"</v>
      </c>
      <c r="Z120" t="str">
        <f t="shared" si="24"/>
        <v>&lt;br&gt;&lt;a href="https://doi.org/10.1021/acs.joc.5c00787.s001"&gt;https://doi.org/10.1021/acs.joc.5c00787.s001&lt;/a&gt;</v>
      </c>
      <c r="AA120" t="str">
        <f t="shared" si="25"/>
        <v/>
      </c>
    </row>
    <row r="121" spans="1:27" x14ac:dyDescent="0.35">
      <c r="A121">
        <v>120</v>
      </c>
      <c r="B121" s="5" t="str">
        <f t="shared" si="14"/>
        <v>jo5c00794</v>
      </c>
      <c r="C121" s="1" t="str">
        <f t="shared" si="15"/>
        <v>jo5c00794</v>
      </c>
      <c r="D121">
        <f>IF(F121=1,"",IF(AND(D120="",S120=S121),"",S121-SUM(F$2:F120)))</f>
        <v>69</v>
      </c>
      <c r="E121" t="str">
        <f t="shared" si="16"/>
        <v>0</v>
      </c>
      <c r="F121">
        <v>0</v>
      </c>
      <c r="H121">
        <v>36</v>
      </c>
      <c r="I121">
        <v>73</v>
      </c>
      <c r="M121" t="str">
        <f t="shared" si="17"/>
        <v>/*69 jo5c00794 */"https://doi.org/10.1021/acs.joc.5c00794.s002",//Triplet Ketone Catalysis-Enabled Functionalization of Thioanisoles with Maleimides</v>
      </c>
      <c r="N121" t="e">
        <f t="shared" si="18"/>
        <v>#N/A</v>
      </c>
      <c r="O121" t="b">
        <f t="shared" si="19"/>
        <v>0</v>
      </c>
      <c r="P121" s="13" t="s">
        <v>572</v>
      </c>
      <c r="Q121" s="13" t="s">
        <v>573</v>
      </c>
      <c r="R121" t="str">
        <f t="shared" si="20"/>
        <v>002</v>
      </c>
      <c r="S121">
        <f t="shared" si="26"/>
        <v>86</v>
      </c>
      <c r="T121" s="13" t="str">
        <f>VLOOKUP(Q121,original!B:C,2,FALSE)</f>
        <v>Triplet Ketone Catalysis-Enabled Functionalization of Thioanisoles with Maleimides</v>
      </c>
      <c r="U121" s="13" t="s">
        <v>575</v>
      </c>
      <c r="V121" t="str">
        <f t="shared" si="21"/>
        <v>jo5c00794</v>
      </c>
      <c r="W121" t="str">
        <f t="shared" si="22"/>
        <v>jo5c00794_si_002.zip</v>
      </c>
      <c r="X121" t="str">
        <f t="shared" si="23"/>
        <v>https://acs.figshare.com/articles/dataset/Triplet_Ketone_Catalysis-Enabled_Functionalization_of_Thioanisoles_with_Maleimides/29350585</v>
      </c>
      <c r="Y121" s="1" t="str">
        <f t="shared" si="27"/>
        <v>--localSource c:/temp/acs2/data --targetDir c:/temp/acs2/$DOI$ --noDownload --readOnly  --pubDOI https://doi.org/10.1021/acs.joc.5c00794 --dataDOI "10.1021/acs.joc.5c00794https://acs.figshare.com/articles/dataset/Triplet_Ketone_Catalysis-Enabled_Functionalization_of_Thioanisoles_with_Maleimides/29350585"</v>
      </c>
      <c r="Z121" t="str">
        <f t="shared" si="24"/>
        <v>&lt;br&gt;&lt;a href="https://doi.org/10.1021/acs.joc.5c00794.s002"&gt;https://doi.org/10.1021/acs.joc.5c00794.s002&lt;/a&gt;</v>
      </c>
      <c r="AA121" t="str">
        <f t="shared" si="25"/>
        <v/>
      </c>
    </row>
    <row r="122" spans="1:27" x14ac:dyDescent="0.35">
      <c r="A122">
        <v>121</v>
      </c>
      <c r="B122" s="5" t="str">
        <f t="shared" si="14"/>
        <v>jo5c00805</v>
      </c>
      <c r="C122" s="1" t="str">
        <f t="shared" si="15"/>
        <v xml:space="preserve">#jo5c00805 </v>
      </c>
      <c r="D122" t="str">
        <f>IF(F122=1,"",IF(AND(D121="",S121=S122),"",S122-SUM(F$2:F121)))</f>
        <v/>
      </c>
      <c r="E122" t="str">
        <f t="shared" si="16"/>
        <v>0</v>
      </c>
      <c r="F122">
        <v>1</v>
      </c>
      <c r="M122" t="str">
        <f t="shared" si="17"/>
        <v/>
      </c>
      <c r="N122" t="str">
        <f t="shared" si="18"/>
        <v>jo5c00805_si_002.xyz</v>
      </c>
      <c r="O122" t="b">
        <f t="shared" si="19"/>
        <v>1</v>
      </c>
      <c r="P122" s="13" t="s">
        <v>367</v>
      </c>
      <c r="Q122" s="13" t="s">
        <v>368</v>
      </c>
      <c r="R122" t="str">
        <f t="shared" si="20"/>
        <v>002</v>
      </c>
      <c r="S122">
        <f t="shared" si="26"/>
        <v>87</v>
      </c>
      <c r="T122" s="13" t="str">
        <f>VLOOKUP(Q122,original!B:C,2,FALSE)</f>
        <v>Anion-Controlled Regioselectivity in Halonium-Mediated Arylations: A Kinetic and Mechanistic Study</v>
      </c>
      <c r="U122" s="13" t="s">
        <v>370</v>
      </c>
      <c r="V122" t="str">
        <f t="shared" si="21"/>
        <v>jo5c00805</v>
      </c>
      <c r="W122" t="str">
        <f t="shared" si="22"/>
        <v>jo5c00805_si_002.zip</v>
      </c>
      <c r="X122" t="str">
        <f t="shared" si="23"/>
        <v>https://acs.figshare.com/articles/dataset/Anion-Controlled_Regioselectivity_in_Halonium-Mediated_Arylations_A_Kinetic_and_Mechanistic_Study/29941744</v>
      </c>
      <c r="Y122" s="1" t="str">
        <f t="shared" si="27"/>
        <v>--localSource c:/temp/acs2/data --targetDir c:/temp/acs2/$DOI$ --noDownload --readOnly  --pubDOI https://doi.org/10.1021/acs.joc.5c00805 --dataDOI "10.1021/acs.joc.5c00805https://acs.figshare.com/articles/dataset/Anion-Controlled_Regioselectivity_in_Halonium-Mediated_Arylations_A_Kinetic_and_Mechanistic_Study/29941744"</v>
      </c>
      <c r="Z122" t="str">
        <f t="shared" si="24"/>
        <v>&lt;br&gt;&lt;a href="https://doi.org/10.1021/acs.joc.5c00805.s002"&gt;https://doi.org/10.1021/acs.joc.5c00805.s002&lt;/a&gt;</v>
      </c>
      <c r="AA122" t="str">
        <f t="shared" si="25"/>
        <v/>
      </c>
    </row>
    <row r="123" spans="1:27" x14ac:dyDescent="0.35">
      <c r="A123">
        <v>122</v>
      </c>
      <c r="B123" s="5" t="str">
        <f t="shared" si="14"/>
        <v>jo5c00808</v>
      </c>
      <c r="C123" s="1" t="str">
        <f t="shared" si="15"/>
        <v>#jo5c00808 CALCULATION ONLY XYZ</v>
      </c>
      <c r="D123" t="str">
        <f>IF(F123=1,"",IF(AND(D122="",S122=S123),"",S123-SUM(F$2:F122)))</f>
        <v/>
      </c>
      <c r="E123" t="str">
        <f t="shared" si="16"/>
        <v>0</v>
      </c>
      <c r="F123">
        <v>1</v>
      </c>
      <c r="G123" t="s">
        <v>1053</v>
      </c>
      <c r="M123" t="str">
        <f t="shared" si="17"/>
        <v/>
      </c>
      <c r="N123" t="e">
        <f t="shared" si="18"/>
        <v>#N/A</v>
      </c>
      <c r="O123" t="b">
        <f t="shared" si="19"/>
        <v>0</v>
      </c>
      <c r="P123" s="13" t="s">
        <v>495</v>
      </c>
      <c r="Q123" s="13" t="s">
        <v>496</v>
      </c>
      <c r="R123" t="str">
        <f t="shared" si="20"/>
        <v>002</v>
      </c>
      <c r="S123">
        <f t="shared" si="26"/>
        <v>88</v>
      </c>
      <c r="T123" s="13" t="str">
        <f>VLOOKUP(Q123,original!B:C,2,FALSE)</f>
        <v>Streamlined Umpolung Coupling to Diarylamine Using an Easily Accessible Copper Catalyst under Mild Conditions</v>
      </c>
      <c r="U123" s="13" t="s">
        <v>498</v>
      </c>
      <c r="V123" t="str">
        <f t="shared" si="21"/>
        <v>jo5c00808</v>
      </c>
      <c r="W123" t="str">
        <f t="shared" si="22"/>
        <v>jo5c00808_si_002.zip</v>
      </c>
      <c r="X123" t="str">
        <f t="shared" si="23"/>
        <v>https://acs.figshare.com/articles/dataset/Streamlined_Umpolung_Coupling_to_Diarylamine_Using_an_Easily_Accessible_Copper_Catalyst_under_Mild_Conditions/29498319</v>
      </c>
      <c r="Y123" s="1" t="str">
        <f t="shared" si="27"/>
        <v>--localSource c:/temp/acs2/data --targetDir c:/temp/acs2/$DOI$ --noDownload --readOnly  --pubDOI https://doi.org/10.1021/acs.joc.5c00808 --dataDOI "10.1021/acs.joc.5c00808https://acs.figshare.com/articles/dataset/Streamlined_Umpolung_Coupling_to_Diarylamine_Using_an_Easily_Accessible_Copper_Catalyst_under_Mild_Conditions/29498319"</v>
      </c>
      <c r="Z123" t="str">
        <f t="shared" si="24"/>
        <v>&lt;br&gt;&lt;a href="https://doi.org/10.1021/acs.joc.5c00808.s002"&gt;https://doi.org/10.1021/acs.joc.5c00808.s002&lt;/a&gt;</v>
      </c>
      <c r="AA123" t="str">
        <f t="shared" si="25"/>
        <v/>
      </c>
    </row>
    <row r="124" spans="1:27" x14ac:dyDescent="0.35">
      <c r="A124">
        <v>123</v>
      </c>
      <c r="B124" s="5" t="str">
        <f t="shared" si="14"/>
        <v>jo5c00884</v>
      </c>
      <c r="C124" s="1" t="str">
        <f t="shared" si="15"/>
        <v>jo5c00884</v>
      </c>
      <c r="D124">
        <f>IF(F124=1,"",IF(AND(D123="",S123=S124),"",S124-SUM(F$2:F123)))</f>
        <v>70</v>
      </c>
      <c r="E124" t="str">
        <f t="shared" si="16"/>
        <v>0</v>
      </c>
      <c r="F124">
        <v>0</v>
      </c>
      <c r="H124">
        <v>8</v>
      </c>
      <c r="I124">
        <v>13</v>
      </c>
      <c r="J124">
        <v>6</v>
      </c>
      <c r="M124" t="str">
        <f t="shared" si="17"/>
        <v>/*70 jo5c00884 */"https://doi.org/10.1021/acs.joc.5c00884.s001",//NCS-Mediated Direct Synthesis of β‑Chlorosulfoxides from Unactivated Alkenes and Thiophenols</v>
      </c>
      <c r="N124" t="e">
        <f t="shared" si="18"/>
        <v>#N/A</v>
      </c>
      <c r="O124" t="b">
        <f t="shared" si="19"/>
        <v>0</v>
      </c>
      <c r="P124" s="13" t="s">
        <v>515</v>
      </c>
      <c r="Q124" s="13" t="s">
        <v>516</v>
      </c>
      <c r="R124" t="str">
        <f t="shared" si="20"/>
        <v>001</v>
      </c>
      <c r="S124">
        <f t="shared" si="26"/>
        <v>89</v>
      </c>
      <c r="T124" s="13" t="str">
        <f>VLOOKUP(Q124,original!B:C,2,FALSE)</f>
        <v>NCS-Mediated Direct Synthesis of β‑Chlorosulfoxides from Unactivated Alkenes and Thiophenols</v>
      </c>
      <c r="U124" s="13" t="s">
        <v>517</v>
      </c>
      <c r="V124" t="str">
        <f t="shared" si="21"/>
        <v>jo5c00884</v>
      </c>
      <c r="W124" t="str">
        <f t="shared" si="22"/>
        <v>jo5c00884_si_001.zip</v>
      </c>
      <c r="X124" t="str">
        <f t="shared" si="23"/>
        <v>https://acs.figshare.com/articles/dataset/NCS-Mediated_Direct_Synthesis_of_Chlorosulfoxides_from_Unactivated_Alkenes_and_Thiophenols/29442623</v>
      </c>
      <c r="Y124" s="1" t="str">
        <f t="shared" si="27"/>
        <v>--localSource c:/temp/acs2/data --targetDir c:/temp/acs2/$DOI$ --noDownload --readOnly  --pubDOI https://doi.org/10.1021/acs.joc.5c00884 --dataDOI "10.1021/acs.joc.5c00884https://acs.figshare.com/articles/dataset/NCS-Mediated_Direct_Synthesis_of_Chlorosulfoxides_from_Unactivated_Alkenes_and_Thiophenols/29442623"</v>
      </c>
      <c r="Z124" t="str">
        <f t="shared" si="24"/>
        <v>&lt;br&gt;&lt;a href="https://doi.org/10.1021/acs.joc.5c00884.s001"&gt;https://doi.org/10.1021/acs.joc.5c00884.s001&lt;/a&gt;</v>
      </c>
      <c r="AA124" t="str">
        <f t="shared" si="25"/>
        <v/>
      </c>
    </row>
    <row r="125" spans="1:27" x14ac:dyDescent="0.35">
      <c r="A125">
        <v>124</v>
      </c>
      <c r="B125" s="5" t="str">
        <f t="shared" si="14"/>
        <v>jo5c00912</v>
      </c>
      <c r="C125" s="1" t="str">
        <f t="shared" si="15"/>
        <v>jo5c00912</v>
      </c>
      <c r="D125">
        <f>IF(F125=1,"",IF(AND(D124="",S124=S125),"",S125-SUM(F$2:F124)))</f>
        <v>71</v>
      </c>
      <c r="E125" t="str">
        <f t="shared" si="16"/>
        <v>0</v>
      </c>
      <c r="F125">
        <v>0</v>
      </c>
      <c r="H125">
        <v>30</v>
      </c>
      <c r="I125">
        <v>60</v>
      </c>
      <c r="J125">
        <v>30</v>
      </c>
      <c r="M125" t="str">
        <f t="shared" si="17"/>
        <v>/*71 jo5c00912 */"https://doi.org/10.1021/acs.joc.5c00912.s002",//C–C Coupling Enabled by Mn Complexes with Diacyl Peroxides: Alkylation versus Oxygenation</v>
      </c>
      <c r="N125" t="e">
        <f t="shared" si="18"/>
        <v>#N/A</v>
      </c>
      <c r="O125" t="b">
        <f t="shared" si="19"/>
        <v>0</v>
      </c>
      <c r="P125" s="13" t="s">
        <v>447</v>
      </c>
      <c r="Q125" s="13" t="s">
        <v>448</v>
      </c>
      <c r="R125" t="str">
        <f t="shared" si="20"/>
        <v>002</v>
      </c>
      <c r="S125">
        <f t="shared" si="26"/>
        <v>90</v>
      </c>
      <c r="T125" s="13" t="str">
        <f>VLOOKUP(Q125,original!B:C,2,FALSE)</f>
        <v>C–C Coupling Enabled by Mn Complexes with Diacyl Peroxides: Alkylation versus Oxygenation</v>
      </c>
      <c r="U125" s="13" t="s">
        <v>449</v>
      </c>
      <c r="V125" t="str">
        <f t="shared" si="21"/>
        <v>jo5c00912</v>
      </c>
      <c r="W125" t="str">
        <f t="shared" si="22"/>
        <v>jo5c00912_si_002.zip</v>
      </c>
      <c r="X125" t="str">
        <f t="shared" si="23"/>
        <v>https://acs.figshare.com/articles/dataset/C_C_Coupling_Enabled_by_Mn_Complexes_with_Diacyl_Peroxides_Alkylation_versus_Oxygenation/29643226</v>
      </c>
      <c r="Y125" s="1" t="str">
        <f t="shared" si="27"/>
        <v>--localSource c:/temp/acs2/data --targetDir c:/temp/acs2/$DOI$ --noDownload --readOnly  --pubDOI https://doi.org/10.1021/acs.joc.5c00912 --dataDOI "10.1021/acs.joc.5c00912https://acs.figshare.com/articles/dataset/C_C_Coupling_Enabled_by_Mn_Complexes_with_Diacyl_Peroxides_Alkylation_versus_Oxygenation/29643226"</v>
      </c>
      <c r="Z125" t="str">
        <f t="shared" si="24"/>
        <v>&lt;br&gt;&lt;a href="https://doi.org/10.1021/acs.joc.5c00912.s002"&gt;https://doi.org/10.1021/acs.joc.5c00912.s002&lt;/a&gt;</v>
      </c>
      <c r="AA125" t="str">
        <f t="shared" si="25"/>
        <v/>
      </c>
    </row>
    <row r="126" spans="1:27" x14ac:dyDescent="0.35">
      <c r="A126">
        <v>125</v>
      </c>
      <c r="B126" s="5" t="str">
        <f t="shared" si="14"/>
        <v>jo5c00940</v>
      </c>
      <c r="C126" s="1" t="str">
        <f t="shared" si="15"/>
        <v>#jo5c00940 CALCULATION ONLY XYZ</v>
      </c>
      <c r="D126" t="str">
        <f>IF(F126=1,"",IF(AND(D125="",S125=S126),"",S126-SUM(F$2:F125)))</f>
        <v/>
      </c>
      <c r="E126" t="str">
        <f t="shared" si="16"/>
        <v>0</v>
      </c>
      <c r="F126">
        <v>1</v>
      </c>
      <c r="G126" t="s">
        <v>1053</v>
      </c>
      <c r="M126" t="str">
        <f t="shared" si="17"/>
        <v/>
      </c>
      <c r="N126" t="e">
        <f t="shared" si="18"/>
        <v>#N/A</v>
      </c>
      <c r="O126" t="b">
        <f t="shared" si="19"/>
        <v>0</v>
      </c>
      <c r="P126" s="13" t="s">
        <v>317</v>
      </c>
      <c r="Q126" s="13" t="s">
        <v>318</v>
      </c>
      <c r="R126" t="str">
        <f t="shared" si="20"/>
        <v>002</v>
      </c>
      <c r="S126">
        <f t="shared" si="26"/>
        <v>91</v>
      </c>
      <c r="T126" s="13" t="str">
        <f>VLOOKUP(Q126,original!B:C,2,FALSE)</f>
        <v>Kinetic Profiles as a Diagnostic Probe of Complex Multi-Cycle Catalytic Reaction Networks</v>
      </c>
      <c r="U126" s="13" t="s">
        <v>320</v>
      </c>
      <c r="V126" t="str">
        <f t="shared" si="21"/>
        <v>jo5c00940</v>
      </c>
      <c r="W126" t="str">
        <f t="shared" si="22"/>
        <v>jo5c00940_si_002.zip</v>
      </c>
      <c r="X126" t="str">
        <f t="shared" si="23"/>
        <v>https://acs.figshare.com/articles/dataset/Kinetic_Profiles_as_a_Diagnostic_Probe_of_Complex_Multi-Cycle_Catalytic_Reaction_Networks/30032213</v>
      </c>
      <c r="Y126" s="1" t="str">
        <f t="shared" si="27"/>
        <v>--localSource c:/temp/acs2/data --targetDir c:/temp/acs2/$DOI$ --noDownload --readOnly  --pubDOI https://doi.org/10.1021/acs.joc.5c00940 --dataDOI "10.1021/acs.joc.5c00940https://acs.figshare.com/articles/dataset/Kinetic_Profiles_as_a_Diagnostic_Probe_of_Complex_Multi-Cycle_Catalytic_Reaction_Networks/30032213"</v>
      </c>
      <c r="Z126" t="str">
        <f t="shared" si="24"/>
        <v>&lt;br&gt;&lt;a href="https://doi.org/10.1021/acs.joc.5c00940.s002"&gt;https://doi.org/10.1021/acs.joc.5c00940.s002&lt;/a&gt;</v>
      </c>
      <c r="AA126" t="str">
        <f t="shared" si="25"/>
        <v/>
      </c>
    </row>
    <row r="127" spans="1:27" x14ac:dyDescent="0.35">
      <c r="A127">
        <v>126</v>
      </c>
      <c r="B127" s="5" t="str">
        <f t="shared" si="14"/>
        <v>jo5c00952</v>
      </c>
      <c r="C127" s="1" t="str">
        <f t="shared" si="15"/>
        <v>jo5c00952</v>
      </c>
      <c r="D127">
        <f>IF(F127=1,"",IF(AND(D126="",S126=S127),"",S127-SUM(F$2:F126)))</f>
        <v>72</v>
      </c>
      <c r="E127" t="str">
        <f t="shared" si="16"/>
        <v>0</v>
      </c>
      <c r="F127">
        <v>0</v>
      </c>
      <c r="H127">
        <v>49</v>
      </c>
      <c r="I127">
        <v>101</v>
      </c>
      <c r="M127" t="str">
        <f t="shared" si="17"/>
        <v>/*72 jo5c00952 */"https://doi.org/10.1021/acs.joc.5c00952.s002",//Distinct Selectivity of 2‑Aryl Thioquinazolinones in the Sulfur Directing Rh(III)-Catalyzed Amidation Reaction</v>
      </c>
      <c r="N127" t="e">
        <f t="shared" si="18"/>
        <v>#N/A</v>
      </c>
      <c r="O127" t="b">
        <f t="shared" si="19"/>
        <v>0</v>
      </c>
      <c r="P127" s="13" t="s">
        <v>592</v>
      </c>
      <c r="Q127" s="13" t="s">
        <v>593</v>
      </c>
      <c r="R127" t="str">
        <f t="shared" si="20"/>
        <v>002</v>
      </c>
      <c r="S127">
        <f t="shared" si="26"/>
        <v>92</v>
      </c>
      <c r="T127" s="13" t="str">
        <f>VLOOKUP(Q127,original!B:C,2,FALSE)</f>
        <v>Distinct Selectivity of 2‑Aryl Thioquinazolinones in the Sulfur Directing Rh(III)-Catalyzed Amidation Reaction</v>
      </c>
      <c r="U127" s="13" t="s">
        <v>594</v>
      </c>
      <c r="V127" t="str">
        <f t="shared" si="21"/>
        <v>jo5c00952</v>
      </c>
      <c r="W127" t="str">
        <f t="shared" si="22"/>
        <v>jo5c00952_si_002.zip</v>
      </c>
      <c r="X127" t="str">
        <f t="shared" si="23"/>
        <v>https://acs.figshare.com/articles/dataset/Distinct_Selectivity_of_2_Aryl_Thioquinazolinones_in_the_Sulfur_Directing_Rh_III_-Catalyzed_Amidation_Reaction/29275717</v>
      </c>
      <c r="Y127" s="1" t="str">
        <f t="shared" si="27"/>
        <v>--localSource c:/temp/acs2/data --targetDir c:/temp/acs2/$DOI$ --noDownload --readOnly  --pubDOI https://doi.org/10.1021/acs.joc.5c00952 --dataDOI "10.1021/acs.joc.5c00952https://acs.figshare.com/articles/dataset/Distinct_Selectivity_of_2_Aryl_Thioquinazolinones_in_the_Sulfur_Directing_Rh_III_-Catalyzed_Amidation_Reaction/29275717"</v>
      </c>
      <c r="Z127" t="str">
        <f t="shared" si="24"/>
        <v>&lt;br&gt;&lt;a href="https://doi.org/10.1021/acs.joc.5c00952.s002"&gt;https://doi.org/10.1021/acs.joc.5c00952.s002&lt;/a&gt;</v>
      </c>
      <c r="AA127" t="str">
        <f t="shared" si="25"/>
        <v/>
      </c>
    </row>
    <row r="128" spans="1:27" x14ac:dyDescent="0.35">
      <c r="A128">
        <v>127</v>
      </c>
      <c r="B128" s="5" t="str">
        <f t="shared" si="14"/>
        <v>jo5c00954</v>
      </c>
      <c r="C128" s="1" t="str">
        <f t="shared" si="15"/>
        <v>jo5c00954</v>
      </c>
      <c r="D128">
        <f>IF(F128=1,"",IF(AND(D127="",S127=S128),"",S128-SUM(F$2:F127)))</f>
        <v>73</v>
      </c>
      <c r="E128" t="str">
        <f t="shared" si="16"/>
        <v>0</v>
      </c>
      <c r="F128">
        <v>0</v>
      </c>
      <c r="H128">
        <v>11</v>
      </c>
      <c r="I128">
        <v>11</v>
      </c>
      <c r="J128">
        <v>1</v>
      </c>
      <c r="M128" t="str">
        <f t="shared" si="17"/>
        <v>/*73 jo5c00954 */"https://doi.org/10.1021/acs.joc.5c00954.s002",//Further Confirmation of the Structure of 3′-(2-Pyridyldithio)-3′-deoxyadenosine and 3′-Thio-3′-deoxyadenosine: Synthetic Convergence with Cordycepin</v>
      </c>
      <c r="N128" t="e">
        <f t="shared" si="18"/>
        <v>#N/A</v>
      </c>
      <c r="O128" t="b">
        <f t="shared" si="19"/>
        <v>0</v>
      </c>
      <c r="P128" s="13" t="s">
        <v>549</v>
      </c>
      <c r="Q128" s="13" t="s">
        <v>550</v>
      </c>
      <c r="R128" t="str">
        <f t="shared" si="20"/>
        <v>002</v>
      </c>
      <c r="S128">
        <f t="shared" si="26"/>
        <v>93</v>
      </c>
      <c r="T128" s="13" t="str">
        <f>VLOOKUP(Q128,original!B:C,2,FALSE)</f>
        <v>Further Confirmation of the Structure of 3′-(2-Pyridyldithio)-3′-deoxyadenosine and 3′-Thio-3′-deoxyadenosine: Synthetic Convergence with Cordycepin</v>
      </c>
      <c r="U128" s="13" t="s">
        <v>551</v>
      </c>
      <c r="V128" t="str">
        <f t="shared" si="21"/>
        <v>jo5c00954</v>
      </c>
      <c r="W128" t="str">
        <f t="shared" si="22"/>
        <v>jo5c00954_si_002.zip</v>
      </c>
      <c r="X128" t="str">
        <f t="shared" si="23"/>
        <v>https://acs.figshare.com/articles/dataset/Further_Confirmation_of_the_Structure_of_3_-_2-Pyridyldithio_-3_-deoxyadenosine_and_3_-Thio-3_-deoxyadenosine_Synthetic_Convergence_with_Cordycepin/29401078</v>
      </c>
      <c r="Y128" s="1" t="str">
        <f t="shared" si="27"/>
        <v>--localSource c:/temp/acs2/data --targetDir c:/temp/acs2/$DOI$ --noDownload --readOnly  --pubDOI https://doi.org/10.1021/acs.joc.5c00954 --dataDOI "10.1021/acs.joc.5c00954https://acs.figshare.com/articles/dataset/Further_Confirmation_of_the_Structure_of_3_-_2-Pyridyldithio_-3_-deoxyadenosine_and_3_-Thio-3_-deoxyadenosine_Synthetic_Convergence_with_Cordycepin/29401078"</v>
      </c>
      <c r="Z128" t="str">
        <f t="shared" si="24"/>
        <v>&lt;br&gt;&lt;a href="https://doi.org/10.1021/acs.joc.5c00954.s002"&gt;https://doi.org/10.1021/acs.joc.5c00954.s002&lt;/a&gt;</v>
      </c>
      <c r="AA128" t="str">
        <f t="shared" si="25"/>
        <v/>
      </c>
    </row>
    <row r="129" spans="1:27" x14ac:dyDescent="0.35">
      <c r="A129">
        <v>128</v>
      </c>
      <c r="B129" s="5" t="str">
        <f t="shared" si="14"/>
        <v>jo5c00955</v>
      </c>
      <c r="C129" s="1" t="str">
        <f t="shared" si="15"/>
        <v xml:space="preserve">#jo5c00955 </v>
      </c>
      <c r="D129" t="str">
        <f>IF(F129=1,"",IF(AND(D128="",S128=S129),"",S129-SUM(F$1:F129)))</f>
        <v/>
      </c>
      <c r="E129" t="str">
        <f t="shared" si="16"/>
        <v>0</v>
      </c>
      <c r="F129">
        <v>1</v>
      </c>
      <c r="M129" t="str">
        <f t="shared" si="17"/>
        <v/>
      </c>
      <c r="N129" t="str">
        <f t="shared" si="18"/>
        <v>jo5c00955_si_002.xyz</v>
      </c>
      <c r="O129" t="b">
        <f t="shared" si="19"/>
        <v>1</v>
      </c>
      <c r="P129" s="13" t="s">
        <v>468</v>
      </c>
      <c r="Q129" s="13" t="s">
        <v>469</v>
      </c>
      <c r="R129" t="str">
        <f t="shared" si="20"/>
        <v>002</v>
      </c>
      <c r="S129">
        <f t="shared" si="26"/>
        <v>94</v>
      </c>
      <c r="T129" s="13" t="str">
        <f>VLOOKUP(Q129,original!B:C,2,FALSE)</f>
        <v>Mechanistic Basis for Divergent Stereoselectivity in Intramolecular Ni-Catalyzed Cross-Electrophile Coupling Reactions</v>
      </c>
      <c r="U129" s="13" t="s">
        <v>471</v>
      </c>
      <c r="V129" t="str">
        <f t="shared" si="21"/>
        <v>jo5c00955</v>
      </c>
      <c r="W129" t="str">
        <f t="shared" si="22"/>
        <v>jo5c00955_si_002.zip</v>
      </c>
      <c r="X129" t="str">
        <f t="shared" si="23"/>
        <v>https://acs.figshare.com/articles/dataset/Mechanistic_Basis_for_Divergent_Stereoselectivity_in_Intramolecular_Ni-Catalyzed_Cross-Electrophile_Coupling_Reactions/29610318</v>
      </c>
      <c r="Y129" s="1" t="str">
        <f t="shared" si="27"/>
        <v>--localSource c:/temp/acs2/data --targetDir c:/temp/acs2/$DOI$ --noDownload --readOnly  --pubDOI https://doi.org/10.1021/acs.joc.5c00955 --dataDOI "10.1021/acs.joc.5c00955https://acs.figshare.com/articles/dataset/Mechanistic_Basis_for_Divergent_Stereoselectivity_in_Intramolecular_Ni-Catalyzed_Cross-Electrophile_Coupling_Reactions/29610318"</v>
      </c>
      <c r="Z129" t="str">
        <f t="shared" si="24"/>
        <v>&lt;br&gt;&lt;a href="https://doi.org/10.1021/acs.joc.5c00955.s002"&gt;https://doi.org/10.1021/acs.joc.5c00955.s002&lt;/a&gt;</v>
      </c>
      <c r="AA129" t="str">
        <f t="shared" si="25"/>
        <v/>
      </c>
    </row>
    <row r="130" spans="1:27" x14ac:dyDescent="0.35">
      <c r="A130">
        <v>129</v>
      </c>
      <c r="B130" s="5" t="str">
        <f t="shared" ref="B130:B193" si="28">V130</f>
        <v>jo5c01002</v>
      </c>
      <c r="C130" s="1" t="str">
        <f t="shared" ref="C130:C193" si="29">IF(Y130="","",IF(OR(O130,F130=1,M130=""),"#"&amp;B130 &amp;" "&amp;G130,B130&amp;IF(G130="",""," # " &amp;G130)))</f>
        <v>jo5c01002</v>
      </c>
      <c r="D130">
        <f>IF(F130=1,"",IF(AND(D129="",S129=S130),"",S130-SUM(F$1:F130)))</f>
        <v>74</v>
      </c>
      <c r="E130" t="str">
        <f t="shared" ref="E130:E193" si="30">IF(B130=B129,"1","0")</f>
        <v>0</v>
      </c>
      <c r="F130">
        <v>0</v>
      </c>
      <c r="H130">
        <v>46</v>
      </c>
      <c r="I130">
        <v>91</v>
      </c>
      <c r="M130" t="str">
        <f t="shared" ref="M130:M193" si="31">IF(OR(O130,D130=""),"","/*"&amp;D130&amp;" " &amp; B130 &amp;" */"""&amp;Q130&amp;""",//"&amp;T130)</f>
        <v>/*74 jo5c01002 */"https://doi.org/10.1021/acs.joc.5c01002.s001",//Synthesis of 2‑Hydroxycarbazoles via Rh(III)-Catalyzed Cascade Cyclization of Indolyl Nitrones with Alkylidenecyclopropanes</v>
      </c>
      <c r="N130" t="e">
        <f t="shared" ref="N130:N193" si="32">VLOOKUP(W130,AA:AB,2,FALSE)</f>
        <v>#N/A</v>
      </c>
      <c r="O130" t="b">
        <f t="shared" ref="O130:O193" si="33">NOT(ISNA(VLOOKUP(W130,AA:AA,1,FALSE)))</f>
        <v>0</v>
      </c>
      <c r="P130" s="13" t="s">
        <v>589</v>
      </c>
      <c r="Q130" s="13" t="s">
        <v>590</v>
      </c>
      <c r="R130" t="str">
        <f t="shared" ref="R130:R193" si="34">MID(Q130,LEN(Q130)-2,4)</f>
        <v>001</v>
      </c>
      <c r="S130">
        <f t="shared" si="26"/>
        <v>95</v>
      </c>
      <c r="T130" s="13" t="str">
        <f>VLOOKUP(Q130,original!B:C,2,FALSE)</f>
        <v>Synthesis of 2‑Hydroxycarbazoles via Rh(III)-Catalyzed Cascade Cyclization of Indolyl Nitrones with Alkylidenecyclopropanes</v>
      </c>
      <c r="U130" s="13" t="s">
        <v>591</v>
      </c>
      <c r="V130" t="str">
        <f t="shared" ref="V130:V193" si="35">SUBSTITUTE(SUBSTITUTE(MID(U130,LEN(U130)-8,100),"c.","jo"),"t.","ol")</f>
        <v>jo5c01002</v>
      </c>
      <c r="W130" t="str">
        <f t="shared" ref="W130:W193" si="36">B130&amp;"_si_"&amp;R130&amp;".zip"</f>
        <v>jo5c01002_si_001.zip</v>
      </c>
      <c r="X130" t="str">
        <f t="shared" ref="X130:X193" si="37">IF(U130&lt;&gt;U129,P130,X129&amp;"\t"&amp;P130)</f>
        <v>https://acs.figshare.com/articles/dataset/Synthesis_of_2_Hydroxycarbazoles_via_Rh_III_-Catalyzed_Cascade_Cyclization_of_Indolyl_Nitrones_with_Alkylidenecyclopropanes/29279950</v>
      </c>
      <c r="Y130" s="1" t="str">
        <f t="shared" si="27"/>
        <v>--localSource c:/temp/acs2/data --targetDir c:/temp/acs2/$DOI$ --noDownload --readOnly  --pubDOI https://doi.org/10.1021/acs.joc.5c01002 --dataDOI "10.1021/acs.joc.5c01002https://acs.figshare.com/articles/dataset/Synthesis_of_2_Hydroxycarbazoles_via_Rh_III_-Catalyzed_Cascade_Cyclization_of_Indolyl_Nitrones_with_Alkylidenecyclopropanes/29279950"</v>
      </c>
      <c r="Z130" t="str">
        <f t="shared" ref="Z130:Z193" si="38">"&lt;br&gt;&lt;a href="""&amp;Q130&amp;"""&gt;"&amp;Q130&amp;"&lt;/a&gt;"</f>
        <v>&lt;br&gt;&lt;a href="https://doi.org/10.1021/acs.joc.5c01002.s001"&gt;https://doi.org/10.1021/acs.joc.5c01002.s001&lt;/a&gt;</v>
      </c>
      <c r="AA130" t="str">
        <f t="shared" ref="AA130:AA193" si="39">IF(AB130="","",MID(AB130,1,LEN(AB130)-4)&amp;".zip")</f>
        <v/>
      </c>
    </row>
    <row r="131" spans="1:27" x14ac:dyDescent="0.35">
      <c r="A131">
        <v>130</v>
      </c>
      <c r="B131" s="5" t="str">
        <f t="shared" si="28"/>
        <v>jo5c01060</v>
      </c>
      <c r="C131" s="1" t="str">
        <f t="shared" si="29"/>
        <v>jo5c01060</v>
      </c>
      <c r="D131">
        <f>IF(F131=1,"",IF(AND(D130="",S130=S131),"",S131-SUM(F$2:F130)))</f>
        <v>75</v>
      </c>
      <c r="E131" t="str">
        <f t="shared" si="30"/>
        <v>0</v>
      </c>
      <c r="F131">
        <v>0</v>
      </c>
      <c r="H131">
        <v>62</v>
      </c>
      <c r="I131">
        <v>131</v>
      </c>
      <c r="M131" t="str">
        <f t="shared" si="31"/>
        <v>/*75 jo5c01060 */"https://doi.org/10.1021/acs.joc.5c01060.s002",//In-Catalyzed Regioselective [3+2] Cycloaddition of Alkenes with α,β-Unsaturated Keto-Carboxylic Acid Derivatives for the Synthesis of γ‑Butyrolactones</v>
      </c>
      <c r="N131" t="e">
        <f t="shared" si="32"/>
        <v>#N/A</v>
      </c>
      <c r="O131" t="b">
        <f t="shared" si="33"/>
        <v>0</v>
      </c>
      <c r="P131" s="13" t="s">
        <v>183</v>
      </c>
      <c r="Q131" s="13" t="s">
        <v>184</v>
      </c>
      <c r="R131" t="str">
        <f t="shared" si="34"/>
        <v>002</v>
      </c>
      <c r="S131">
        <f t="shared" ref="S131:S194" si="40">IF(U131=U130,S130,S130+1)</f>
        <v>96</v>
      </c>
      <c r="T131" s="13" t="str">
        <f>VLOOKUP(Q131,original!B:C,2,FALSE)</f>
        <v>In-Catalyzed Regioselective [3+2] Cycloaddition of Alkenes with α,β-Unsaturated Keto-Carboxylic Acid Derivatives for the Synthesis of γ‑Butyrolactones</v>
      </c>
      <c r="U131" s="13" t="s">
        <v>185</v>
      </c>
      <c r="V131" t="str">
        <f t="shared" si="35"/>
        <v>jo5c01060</v>
      </c>
      <c r="W131" t="str">
        <f t="shared" si="36"/>
        <v>jo5c01060_si_002.zip</v>
      </c>
      <c r="X131" t="str">
        <f t="shared" si="37"/>
        <v>https://acs.figshare.com/articles/dataset/In-Catalyzed_Regioselective_3_2_Cycloaddition_of_Alkenes_with_-Unsaturated_Keto-Carboxylic_Acid_Derivatives_for_the_Synthesis_of_Butyrolactones/30445495</v>
      </c>
      <c r="Y131" s="1" t="str">
        <f t="shared" ref="Y131:Y194" si="41">IF(U131&lt;&gt;U132,$Y$1&amp;" --pubDOI "&amp; U131&amp;" --dataDOI """&amp;SUBSTITUTE(U131&amp;X131&amp;"""","https://doi.org/",""),"")</f>
        <v>--localSource c:/temp/acs2/data --targetDir c:/temp/acs2/$DOI$ --noDownload --readOnly  --pubDOI https://doi.org/10.1021/acs.joc.5c01060 --dataDOI "10.1021/acs.joc.5c01060https://acs.figshare.com/articles/dataset/In-Catalyzed_Regioselective_3_2_Cycloaddition_of_Alkenes_with_-Unsaturated_Keto-Carboxylic_Acid_Derivatives_for_the_Synthesis_of_Butyrolactones/30445495"</v>
      </c>
      <c r="Z131" t="str">
        <f t="shared" si="38"/>
        <v>&lt;br&gt;&lt;a href="https://doi.org/10.1021/acs.joc.5c01060.s002"&gt;https://doi.org/10.1021/acs.joc.5c01060.s002&lt;/a&gt;</v>
      </c>
      <c r="AA131" t="str">
        <f t="shared" si="39"/>
        <v/>
      </c>
    </row>
    <row r="132" spans="1:27" x14ac:dyDescent="0.35">
      <c r="A132">
        <v>131</v>
      </c>
      <c r="B132" s="5" t="str">
        <f t="shared" si="28"/>
        <v>jo5c01068</v>
      </c>
      <c r="C132" s="1" t="str">
        <f t="shared" si="29"/>
        <v>jo5c01068</v>
      </c>
      <c r="D132">
        <f>IF(F132=1,"",IF(AND(D131="",S131=S132),"",S132-SUM(F$2:F131)))</f>
        <v>76</v>
      </c>
      <c r="E132" t="str">
        <f t="shared" si="30"/>
        <v>0</v>
      </c>
      <c r="F132">
        <v>0</v>
      </c>
      <c r="H132">
        <v>51</v>
      </c>
      <c r="I132">
        <v>102</v>
      </c>
      <c r="M132" t="str">
        <f t="shared" si="31"/>
        <v>/*76 jo5c01068 */"https://doi.org/10.1021/acs.joc.5c01068.s002",//Stereocontrolled Ring-Opening of Oxazolidinone-Fused Aziridines for the Synthesis of 2‑Amino Ethers</v>
      </c>
      <c r="N132" t="e">
        <f t="shared" si="32"/>
        <v>#N/A</v>
      </c>
      <c r="O132" t="b">
        <f t="shared" si="33"/>
        <v>0</v>
      </c>
      <c r="P132" s="13" t="s">
        <v>505</v>
      </c>
      <c r="Q132" s="13" t="s">
        <v>506</v>
      </c>
      <c r="R132" t="str">
        <f t="shared" si="34"/>
        <v>002</v>
      </c>
      <c r="S132">
        <f t="shared" si="40"/>
        <v>97</v>
      </c>
      <c r="T132" s="13" t="str">
        <f>VLOOKUP(Q132,original!B:C,2,FALSE)</f>
        <v>Stereocontrolled Ring-Opening of Oxazolidinone-Fused Aziridines for the Synthesis of 2‑Amino Ethers</v>
      </c>
      <c r="U132" s="13" t="s">
        <v>507</v>
      </c>
      <c r="V132" t="str">
        <f t="shared" si="35"/>
        <v>jo5c01068</v>
      </c>
      <c r="W132" t="str">
        <f t="shared" si="36"/>
        <v>jo5c01068_si_002.zip</v>
      </c>
      <c r="X132" t="str">
        <f t="shared" si="37"/>
        <v>https://acs.figshare.com/articles/dataset/Stereocontrolled_Ring-Opening_of_Oxazolidinone-Fused_Aziridines_for_the_Synthesis_of_2_Amino_Ethers/29494695</v>
      </c>
      <c r="Y132" s="1" t="str">
        <f t="shared" si="41"/>
        <v>--localSource c:/temp/acs2/data --targetDir c:/temp/acs2/$DOI$ --noDownload --readOnly  --pubDOI https://doi.org/10.1021/acs.joc.5c01068 --dataDOI "10.1021/acs.joc.5c01068https://acs.figshare.com/articles/dataset/Stereocontrolled_Ring-Opening_of_Oxazolidinone-Fused_Aziridines_for_the_Synthesis_of_2_Amino_Ethers/29494695"</v>
      </c>
      <c r="Z132" t="str">
        <f t="shared" si="38"/>
        <v>&lt;br&gt;&lt;a href="https://doi.org/10.1021/acs.joc.5c01068.s002"&gt;https://doi.org/10.1021/acs.joc.5c01068.s002&lt;/a&gt;</v>
      </c>
      <c r="AA132" t="str">
        <f t="shared" si="39"/>
        <v/>
      </c>
    </row>
    <row r="133" spans="1:27" x14ac:dyDescent="0.35">
      <c r="A133">
        <v>132</v>
      </c>
      <c r="B133" s="5" t="str">
        <f t="shared" si="28"/>
        <v>jo5c01082</v>
      </c>
      <c r="C133" s="1" t="str">
        <f t="shared" si="29"/>
        <v/>
      </c>
      <c r="D133">
        <f>IF(F133=1,"",IF(AND(D132="",S132=S133),"",S133-SUM(F$2:F132)))</f>
        <v>77</v>
      </c>
      <c r="E133" t="str">
        <f t="shared" si="30"/>
        <v>0</v>
      </c>
      <c r="F133">
        <v>0</v>
      </c>
      <c r="M133" t="str">
        <f t="shared" si="31"/>
        <v>/*77 jo5c01082 */"https://doi.org/10.1021/acs.joc.5c01082.s002",//Pd-Catalyzed One-Pot Synthesis of Indole-3-carboxylic Acids via a Sequential Water-Mediated Nucleophilic Addition to Amides/Esters and Carbon–Heteroatom Cross-Coupling Reaction Strategy</v>
      </c>
      <c r="N133" t="e">
        <f t="shared" si="32"/>
        <v>#N/A</v>
      </c>
      <c r="O133" t="b">
        <f t="shared" si="33"/>
        <v>0</v>
      </c>
      <c r="P133" s="13" t="s">
        <v>334</v>
      </c>
      <c r="Q133" s="13" t="s">
        <v>335</v>
      </c>
      <c r="R133" t="str">
        <f t="shared" si="34"/>
        <v>002</v>
      </c>
      <c r="S133">
        <f t="shared" si="40"/>
        <v>98</v>
      </c>
      <c r="T133" s="13" t="str">
        <f>VLOOKUP(Q133,original!B:C,2,FALSE)</f>
        <v>Pd-Catalyzed One-Pot Synthesis of Indole-3-carboxylic Acids via a Sequential Water-Mediated Nucleophilic Addition to Amides/Esters and Carbon–Heteroatom Cross-Coupling Reaction Strategy</v>
      </c>
      <c r="U133" s="13" t="s">
        <v>333</v>
      </c>
      <c r="V133" t="str">
        <f t="shared" si="35"/>
        <v>jo5c01082</v>
      </c>
      <c r="W133" t="str">
        <f t="shared" si="36"/>
        <v>jo5c01082_si_002.zip</v>
      </c>
      <c r="X133" t="str">
        <f t="shared" si="37"/>
        <v>https://acs.figshare.com/articles/dataset/Pd-Catalyzed_One-Pot_Synthesis_of_Indole-3-carboxylic_Acids_via_a_Sequential_Water-Mediated_Nucleophilic_Addition_to_Amides_Esters_and_Carbon_Heteroatom_Cross-Coupling_Reaction_Strategy/30001427</v>
      </c>
      <c r="Y133" s="1" t="str">
        <f t="shared" si="41"/>
        <v/>
      </c>
      <c r="Z133" t="str">
        <f t="shared" si="38"/>
        <v>&lt;br&gt;&lt;a href="https://doi.org/10.1021/acs.joc.5c01082.s002"&gt;https://doi.org/10.1021/acs.joc.5c01082.s002&lt;/a&gt;</v>
      </c>
      <c r="AA133" t="str">
        <f t="shared" si="39"/>
        <v/>
      </c>
    </row>
    <row r="134" spans="1:27" x14ac:dyDescent="0.35">
      <c r="A134">
        <v>133</v>
      </c>
      <c r="B134" s="5" t="str">
        <f t="shared" si="28"/>
        <v>jo5c01082</v>
      </c>
      <c r="C134" s="1" t="str">
        <f t="shared" si="29"/>
        <v>jo5c01082</v>
      </c>
      <c r="D134">
        <f>IF(F134=1,"",IF(AND(D133="",S133=S134),"",S134-SUM(F$2:F133)))</f>
        <v>77</v>
      </c>
      <c r="E134" t="str">
        <f t="shared" si="30"/>
        <v>1</v>
      </c>
      <c r="F134">
        <v>0</v>
      </c>
      <c r="H134">
        <v>53</v>
      </c>
      <c r="I134">
        <v>110</v>
      </c>
      <c r="J134">
        <v>54</v>
      </c>
      <c r="M134" t="str">
        <f t="shared" si="31"/>
        <v>/*77 jo5c01082 */"https://doi.org/10.1021/acs.joc.5c01082.s003",//Pd-Catalyzed One-Pot Synthesis of Indole-3-carboxylic Acids via a Sequential Water-Mediated Nucleophilic Addition to Amides/Esters and Carbon–Heteroatom Cross-Coupling Reaction Strategy</v>
      </c>
      <c r="N134" t="e">
        <f t="shared" si="32"/>
        <v>#N/A</v>
      </c>
      <c r="O134" t="b">
        <f t="shared" si="33"/>
        <v>0</v>
      </c>
      <c r="P134" s="13" t="s">
        <v>331</v>
      </c>
      <c r="Q134" s="13" t="s">
        <v>332</v>
      </c>
      <c r="R134" t="str">
        <f t="shared" si="34"/>
        <v>003</v>
      </c>
      <c r="S134">
        <f t="shared" si="40"/>
        <v>98</v>
      </c>
      <c r="T134" s="13" t="str">
        <f>VLOOKUP(Q134,original!B:C,2,FALSE)</f>
        <v>Pd-Catalyzed One-Pot Synthesis of Indole-3-carboxylic Acids via a Sequential Water-Mediated Nucleophilic Addition to Amides/Esters and Carbon–Heteroatom Cross-Coupling Reaction Strategy</v>
      </c>
      <c r="U134" s="13" t="s">
        <v>333</v>
      </c>
      <c r="V134" t="str">
        <f t="shared" si="35"/>
        <v>jo5c01082</v>
      </c>
      <c r="W134" t="str">
        <f t="shared" si="36"/>
        <v>jo5c01082_si_003.zip</v>
      </c>
      <c r="X134" t="str">
        <f t="shared" si="37"/>
        <v>https://acs.figshare.com/articles/dataset/Pd-Catalyzed_One-Pot_Synthesis_of_Indole-3-carboxylic_Acids_via_a_Sequential_Water-Mediated_Nucleophilic_Addition_to_Amides_Esters_and_Carbon_Heteroatom_Cross-Coupling_Reaction_Strategy/30001427\thttps://acs.figshare.com/articles/dataset/Pd-Catalyzed_One-Pot_Synthesis_of_Indole-3-carboxylic_Acids_via_a_Sequential_Water-Mediated_Nucleophilic_Addition_to_Amides_Esters_and_Carbon_Heteroatom_Cross-Coupling_Reaction_Strategy/30001430</v>
      </c>
      <c r="Y134" s="1" t="str">
        <f t="shared" si="41"/>
        <v>--localSource c:/temp/acs2/data --targetDir c:/temp/acs2/$DOI$ --noDownload --readOnly  --pubDOI https://doi.org/10.1021/acs.joc.5c01082 --dataDOI "10.1021/acs.joc.5c01082https://acs.figshare.com/articles/dataset/Pd-Catalyzed_One-Pot_Synthesis_of_Indole-3-carboxylic_Acids_via_a_Sequential_Water-Mediated_Nucleophilic_Addition_to_Amides_Esters_and_Carbon_Heteroatom_Cross-Coupling_Reaction_Strategy/30001427\thttps://acs.figshare.com/articles/dataset/Pd-Catalyzed_One-Pot_Synthesis_of_Indole-3-carboxylic_Acids_via_a_Sequential_Water-Mediated_Nucleophilic_Addition_to_Amides_Esters_and_Carbon_Heteroatom_Cross-Coupling_Reaction_Strategy/30001430"</v>
      </c>
      <c r="Z134" t="str">
        <f t="shared" si="38"/>
        <v>&lt;br&gt;&lt;a href="https://doi.org/10.1021/acs.joc.5c01082.s003"&gt;https://doi.org/10.1021/acs.joc.5c01082.s003&lt;/a&gt;</v>
      </c>
      <c r="AA134" t="str">
        <f t="shared" si="39"/>
        <v/>
      </c>
    </row>
    <row r="135" spans="1:27" x14ac:dyDescent="0.35">
      <c r="A135">
        <v>134</v>
      </c>
      <c r="B135" s="5" t="str">
        <f t="shared" si="28"/>
        <v>jo5c01112</v>
      </c>
      <c r="C135" s="1" t="str">
        <f t="shared" si="29"/>
        <v xml:space="preserve">#jo5c01112 </v>
      </c>
      <c r="D135" t="str">
        <f>IF(F135=1,"",IF(AND(D134="",S134=S135),"",S135-SUM(F$2:F134)))</f>
        <v/>
      </c>
      <c r="E135" t="str">
        <f t="shared" si="30"/>
        <v>0</v>
      </c>
      <c r="F135">
        <v>1</v>
      </c>
      <c r="M135" t="str">
        <f t="shared" si="31"/>
        <v/>
      </c>
      <c r="N135" t="str">
        <f t="shared" si="32"/>
        <v>jo5c01112_si_002.xyz</v>
      </c>
      <c r="O135" t="b">
        <f t="shared" si="33"/>
        <v>1</v>
      </c>
      <c r="P135" s="13" t="s">
        <v>304</v>
      </c>
      <c r="Q135" s="13" t="s">
        <v>305</v>
      </c>
      <c r="R135" t="str">
        <f t="shared" si="34"/>
        <v>002</v>
      </c>
      <c r="S135">
        <f t="shared" si="40"/>
        <v>99</v>
      </c>
      <c r="T135" s="13" t="str">
        <f>VLOOKUP(Q135,original!B:C,2,FALSE)</f>
        <v>Stereoselective Oxidative Coupling of Amino Acids or Oligopeptides with Aldehydes: A Mechanism Study</v>
      </c>
      <c r="U135" s="13" t="s">
        <v>307</v>
      </c>
      <c r="V135" t="str">
        <f t="shared" si="35"/>
        <v>jo5c01112</v>
      </c>
      <c r="W135" t="str">
        <f t="shared" si="36"/>
        <v>jo5c01112_si_002.zip</v>
      </c>
      <c r="X135" t="str">
        <f t="shared" si="37"/>
        <v>https://acs.figshare.com/articles/dataset/Stereoselective_Oxidative_Coupling_of_Amino_Acids_or_Oligopeptides_with_Aldehydes_A_Mechanism_Study/30109200</v>
      </c>
      <c r="Y135" s="1" t="str">
        <f t="shared" si="41"/>
        <v>--localSource c:/temp/acs2/data --targetDir c:/temp/acs2/$DOI$ --noDownload --readOnly  --pubDOI https://doi.org/10.1021/acs.joc.5c01112 --dataDOI "10.1021/acs.joc.5c01112https://acs.figshare.com/articles/dataset/Stereoselective_Oxidative_Coupling_of_Amino_Acids_or_Oligopeptides_with_Aldehydes_A_Mechanism_Study/30109200"</v>
      </c>
      <c r="Z135" t="str">
        <f t="shared" si="38"/>
        <v>&lt;br&gt;&lt;a href="https://doi.org/10.1021/acs.joc.5c01112.s002"&gt;https://doi.org/10.1021/acs.joc.5c01112.s002&lt;/a&gt;</v>
      </c>
      <c r="AA135" t="str">
        <f t="shared" si="39"/>
        <v/>
      </c>
    </row>
    <row r="136" spans="1:27" x14ac:dyDescent="0.35">
      <c r="A136">
        <v>135</v>
      </c>
      <c r="B136" s="5" t="str">
        <f t="shared" si="28"/>
        <v>jo5c01113</v>
      </c>
      <c r="C136" s="1" t="str">
        <f t="shared" si="29"/>
        <v>jo5c01113</v>
      </c>
      <c r="D136">
        <f>IF(F136=1,"",IF(AND(D135="",S135=S136),"",S136-SUM(F$2:F135)))</f>
        <v>78</v>
      </c>
      <c r="E136" t="str">
        <f t="shared" si="30"/>
        <v>0</v>
      </c>
      <c r="F136">
        <v>0</v>
      </c>
      <c r="H136">
        <v>7</v>
      </c>
      <c r="I136">
        <v>7</v>
      </c>
      <c r="J136">
        <v>6</v>
      </c>
      <c r="M136" t="str">
        <f t="shared" si="31"/>
        <v>/*78 jo5c01113 */"https://doi.org/10.1021/acs.joc.5c01113.s002",//Phenanthrene-Fused BN-Acenaphth(yl)ene: Synthesis, Structures, and Photophysical Studies</v>
      </c>
      <c r="N136" t="e">
        <f t="shared" si="32"/>
        <v>#N/A</v>
      </c>
      <c r="O136" t="b">
        <f t="shared" si="33"/>
        <v>0</v>
      </c>
      <c r="P136" s="13" t="s">
        <v>293</v>
      </c>
      <c r="Q136" s="13" t="s">
        <v>294</v>
      </c>
      <c r="R136" t="str">
        <f t="shared" si="34"/>
        <v>002</v>
      </c>
      <c r="S136">
        <f t="shared" si="40"/>
        <v>100</v>
      </c>
      <c r="T136" s="13" t="str">
        <f>VLOOKUP(Q136,original!B:C,2,FALSE)</f>
        <v>Phenanthrene-Fused BN-Acenaphth(yl)ene: Synthesis, Structures, and Photophysical Studies</v>
      </c>
      <c r="U136" s="13" t="s">
        <v>296</v>
      </c>
      <c r="V136" t="str">
        <f t="shared" si="35"/>
        <v>jo5c01113</v>
      </c>
      <c r="W136" t="str">
        <f t="shared" si="36"/>
        <v>jo5c01113_si_002.zip</v>
      </c>
      <c r="X136" t="str">
        <f t="shared" si="37"/>
        <v>https://acs.figshare.com/articles/dataset/Phenanthrene-Fused_BN-Acenaphth_yl_ene_Synthesis_Structures_and_Photophysical_Studies/30120209</v>
      </c>
      <c r="Y136" s="1" t="str">
        <f t="shared" si="41"/>
        <v>--localSource c:/temp/acs2/data --targetDir c:/temp/acs2/$DOI$ --noDownload --readOnly  --pubDOI https://doi.org/10.1021/acs.joc.5c01113 --dataDOI "10.1021/acs.joc.5c01113https://acs.figshare.com/articles/dataset/Phenanthrene-Fused_BN-Acenaphth_yl_ene_Synthesis_Structures_and_Photophysical_Studies/30120209"</v>
      </c>
      <c r="Z136" t="str">
        <f t="shared" si="38"/>
        <v>&lt;br&gt;&lt;a href="https://doi.org/10.1021/acs.joc.5c01113.s002"&gt;https://doi.org/10.1021/acs.joc.5c01113.s002&lt;/a&gt;</v>
      </c>
      <c r="AA136" t="str">
        <f t="shared" si="39"/>
        <v/>
      </c>
    </row>
    <row r="137" spans="1:27" x14ac:dyDescent="0.35">
      <c r="A137">
        <v>136</v>
      </c>
      <c r="B137" s="5" t="str">
        <f t="shared" si="28"/>
        <v>jo5c01140</v>
      </c>
      <c r="C137" s="1" t="str">
        <f t="shared" si="29"/>
        <v>#jo5c01140 xyz only</v>
      </c>
      <c r="D137" t="str">
        <f>IF(F137=1,"",IF(AND(D136="",S136=S137),"",S137-SUM(F$2:F136)))</f>
        <v/>
      </c>
      <c r="E137" t="str">
        <f t="shared" si="30"/>
        <v>0</v>
      </c>
      <c r="F137">
        <v>1</v>
      </c>
      <c r="G137" t="s">
        <v>2253</v>
      </c>
      <c r="H137">
        <v>0</v>
      </c>
      <c r="I137">
        <v>0</v>
      </c>
      <c r="M137" t="str">
        <f t="shared" si="31"/>
        <v/>
      </c>
      <c r="N137" t="e">
        <f t="shared" si="32"/>
        <v>#N/A</v>
      </c>
      <c r="O137" t="b">
        <f t="shared" si="33"/>
        <v>0</v>
      </c>
      <c r="P137" s="13" t="s">
        <v>287</v>
      </c>
      <c r="Q137" s="13" t="s">
        <v>288</v>
      </c>
      <c r="R137" t="str">
        <f t="shared" si="34"/>
        <v>002</v>
      </c>
      <c r="S137">
        <f t="shared" si="40"/>
        <v>101</v>
      </c>
      <c r="T137" s="13" t="str">
        <f>VLOOKUP(Q137,original!B:C,2,FALSE)</f>
        <v>Solvent Effects on C–H Abstraction by Hydroperoxyl Radicals: Implication for Antioxidant Strategies</v>
      </c>
      <c r="U137" s="13" t="s">
        <v>289</v>
      </c>
      <c r="V137" t="str">
        <f t="shared" si="35"/>
        <v>jo5c01140</v>
      </c>
      <c r="W137" t="str">
        <f t="shared" si="36"/>
        <v>jo5c01140_si_002.zip</v>
      </c>
      <c r="X137" t="str">
        <f t="shared" si="37"/>
        <v>https://acs.figshare.com/articles/dataset/Solvent_Effects_on_C_H_Abstraction_by_Hydroperoxyl_Radicals_Implication_for_Antioxidant_Strategies/30127428</v>
      </c>
      <c r="Y137" s="1" t="str">
        <f t="shared" si="41"/>
        <v>--localSource c:/temp/acs2/data --targetDir c:/temp/acs2/$DOI$ --noDownload --readOnly  --pubDOI https://doi.org/10.1021/acs.joc.5c01140 --dataDOI "10.1021/acs.joc.5c01140https://acs.figshare.com/articles/dataset/Solvent_Effects_on_C_H_Abstraction_by_Hydroperoxyl_Radicals_Implication_for_Antioxidant_Strategies/30127428"</v>
      </c>
      <c r="Z137" t="str">
        <f t="shared" si="38"/>
        <v>&lt;br&gt;&lt;a href="https://doi.org/10.1021/acs.joc.5c01140.s002"&gt;https://doi.org/10.1021/acs.joc.5c01140.s002&lt;/a&gt;</v>
      </c>
      <c r="AA137" t="str">
        <f t="shared" si="39"/>
        <v/>
      </c>
    </row>
    <row r="138" spans="1:27" x14ac:dyDescent="0.35">
      <c r="A138">
        <v>137</v>
      </c>
      <c r="B138" s="5" t="str">
        <f t="shared" si="28"/>
        <v>jo5c01156</v>
      </c>
      <c r="C138" s="1" t="str">
        <f t="shared" si="29"/>
        <v>jo5c01156</v>
      </c>
      <c r="D138">
        <f>IF(F138=1,"",IF(AND(D137="",S137=S138),"",S138-SUM(F$2:F137)))</f>
        <v>79</v>
      </c>
      <c r="E138" t="str">
        <f t="shared" si="30"/>
        <v>0</v>
      </c>
      <c r="F138">
        <v>0</v>
      </c>
      <c r="H138">
        <v>1</v>
      </c>
      <c r="I138">
        <v>88</v>
      </c>
      <c r="M138" t="str">
        <f t="shared" si="31"/>
        <v>/*79 jo5c01156 */"https://doi.org/10.1021/acs.joc.5c01156.s002",//Annulative Coupling of β‑Ketosulfoxonium Ylides, β‑Ketothioamides, and Aldehydes: Access to Highly Functionalized Dihydrothiophenes</v>
      </c>
      <c r="N138" t="e">
        <f t="shared" si="32"/>
        <v>#N/A</v>
      </c>
      <c r="O138" t="b">
        <f t="shared" si="33"/>
        <v>0</v>
      </c>
      <c r="P138" s="13" t="s">
        <v>374</v>
      </c>
      <c r="Q138" s="13" t="s">
        <v>375</v>
      </c>
      <c r="R138" t="str">
        <f t="shared" si="34"/>
        <v>002</v>
      </c>
      <c r="S138">
        <f t="shared" si="40"/>
        <v>102</v>
      </c>
      <c r="T138" s="13" t="str">
        <f>VLOOKUP(Q138,original!B:C,2,FALSE)</f>
        <v>Annulative Coupling of β‑Ketosulfoxonium Ylides, β‑Ketothioamides, and Aldehydes: Access to Highly Functionalized Dihydrothiophenes</v>
      </c>
      <c r="U138" s="13" t="s">
        <v>376</v>
      </c>
      <c r="V138" t="str">
        <f t="shared" si="35"/>
        <v>jo5c01156</v>
      </c>
      <c r="W138" t="str">
        <f t="shared" si="36"/>
        <v>jo5c01156_si_002.zip</v>
      </c>
      <c r="X138" t="str">
        <f t="shared" si="37"/>
        <v>https://acs.figshare.com/articles/dataset/Annulative_Coupling_of_Ketosulfoxonium_Ylides_Ketothioamides_and_Aldehydes_Access_to_Highly_Functionalized_Dihydrothiophenes/29917518</v>
      </c>
      <c r="Y138" s="1" t="str">
        <f t="shared" si="41"/>
        <v>--localSource c:/temp/acs2/data --targetDir c:/temp/acs2/$DOI$ --noDownload --readOnly  --pubDOI https://doi.org/10.1021/acs.joc.5c01156 --dataDOI "10.1021/acs.joc.5c01156https://acs.figshare.com/articles/dataset/Annulative_Coupling_of_Ketosulfoxonium_Ylides_Ketothioamides_and_Aldehydes_Access_to_Highly_Functionalized_Dihydrothiophenes/29917518"</v>
      </c>
      <c r="Z138" t="str">
        <f t="shared" si="38"/>
        <v>&lt;br&gt;&lt;a href="https://doi.org/10.1021/acs.joc.5c01156.s002"&gt;https://doi.org/10.1021/acs.joc.5c01156.s002&lt;/a&gt;</v>
      </c>
      <c r="AA138" t="str">
        <f t="shared" si="39"/>
        <v/>
      </c>
    </row>
    <row r="139" spans="1:27" x14ac:dyDescent="0.35">
      <c r="A139">
        <v>138</v>
      </c>
      <c r="B139" s="5" t="str">
        <f t="shared" si="28"/>
        <v>jo5c01207</v>
      </c>
      <c r="C139" s="1" t="str">
        <f t="shared" si="29"/>
        <v>#jo5c01207 xyz only</v>
      </c>
      <c r="D139" t="str">
        <f>IF(F139=1,"",IF(AND(D138="",S138=S139),"",S139-SUM(F$2:F138)))</f>
        <v/>
      </c>
      <c r="E139" t="str">
        <f t="shared" si="30"/>
        <v>0</v>
      </c>
      <c r="F139">
        <v>1</v>
      </c>
      <c r="G139" t="s">
        <v>2253</v>
      </c>
      <c r="H139">
        <v>0</v>
      </c>
      <c r="I139">
        <v>0</v>
      </c>
      <c r="M139" t="str">
        <f t="shared" si="31"/>
        <v/>
      </c>
      <c r="N139" t="e">
        <f t="shared" si="32"/>
        <v>#N/A</v>
      </c>
      <c r="O139" t="b">
        <f t="shared" si="33"/>
        <v>0</v>
      </c>
      <c r="P139" s="13" t="s">
        <v>380</v>
      </c>
      <c r="Q139" s="13" t="s">
        <v>381</v>
      </c>
      <c r="R139" t="str">
        <f t="shared" si="34"/>
        <v>001</v>
      </c>
      <c r="S139">
        <f t="shared" si="40"/>
        <v>103</v>
      </c>
      <c r="T139" s="13" t="str">
        <f>VLOOKUP(Q139,original!B:C,2,FALSE)</f>
        <v>tert-BuONO-Promoted Nitrosation of 4‑Nitroisoxazole-Based Enamines: Synthesis of 5‑Cyanoisoxazoles and Their Application</v>
      </c>
      <c r="U139" s="13" t="s">
        <v>382</v>
      </c>
      <c r="V139" t="str">
        <f t="shared" si="35"/>
        <v>jo5c01207</v>
      </c>
      <c r="W139" t="str">
        <f t="shared" si="36"/>
        <v>jo5c01207_si_001.zip</v>
      </c>
      <c r="X139" t="str">
        <f t="shared" si="37"/>
        <v>https://acs.figshare.com/articles/dataset/_i_tert_i_-BuONO-Promoted_Nitrosation_of_4_Nitroisoxazole-Based_Enamines_Synthesis_of_5_Cyanoisoxazoles_and_Their_Application/29912228</v>
      </c>
      <c r="Y139" s="1" t="str">
        <f t="shared" si="41"/>
        <v>--localSource c:/temp/acs2/data --targetDir c:/temp/acs2/$DOI$ --noDownload --readOnly  --pubDOI https://doi.org/10.1021/acs.joc.5c01207 --dataDOI "10.1021/acs.joc.5c01207https://acs.figshare.com/articles/dataset/_i_tert_i_-BuONO-Promoted_Nitrosation_of_4_Nitroisoxazole-Based_Enamines_Synthesis_of_5_Cyanoisoxazoles_and_Their_Application/29912228"</v>
      </c>
      <c r="Z139" t="str">
        <f t="shared" si="38"/>
        <v>&lt;br&gt;&lt;a href="https://doi.org/10.1021/acs.joc.5c01207.s001"&gt;https://doi.org/10.1021/acs.joc.5c01207.s001&lt;/a&gt;</v>
      </c>
      <c r="AA139" t="str">
        <f t="shared" si="39"/>
        <v/>
      </c>
    </row>
    <row r="140" spans="1:27" x14ac:dyDescent="0.35">
      <c r="A140">
        <v>139</v>
      </c>
      <c r="B140" s="5" t="str">
        <f t="shared" si="28"/>
        <v>jo5c01225</v>
      </c>
      <c r="C140" s="1" t="str">
        <f t="shared" si="29"/>
        <v xml:space="preserve">#jo5c01225 </v>
      </c>
      <c r="D140" t="str">
        <f>IF(F140=1,"",IF(AND(D139="",S139=S140),"",S140-SUM(F$2:F139)))</f>
        <v/>
      </c>
      <c r="E140" t="str">
        <f t="shared" si="30"/>
        <v>0</v>
      </c>
      <c r="F140">
        <v>1</v>
      </c>
      <c r="M140" t="str">
        <f t="shared" si="31"/>
        <v/>
      </c>
      <c r="N140" t="str">
        <f t="shared" si="32"/>
        <v>jo5c01225_si_001.xyz</v>
      </c>
      <c r="O140" t="b">
        <f t="shared" si="33"/>
        <v>1</v>
      </c>
      <c r="P140" s="13" t="s">
        <v>328</v>
      </c>
      <c r="Q140" s="13" t="s">
        <v>329</v>
      </c>
      <c r="R140" t="str">
        <f t="shared" si="34"/>
        <v>001</v>
      </c>
      <c r="S140">
        <f t="shared" si="40"/>
        <v>104</v>
      </c>
      <c r="T140" s="13" t="str">
        <f>VLOOKUP(Q140,original!B:C,2,FALSE)</f>
        <v>3‑Hydroxyisoindolinones from Keto Acids and Amines: A Mild One-Pot Synthesis with Amidinium and Phosphonium Salts</v>
      </c>
      <c r="U140" s="13" t="s">
        <v>330</v>
      </c>
      <c r="V140" t="str">
        <f t="shared" si="35"/>
        <v>jo5c01225</v>
      </c>
      <c r="W140" t="str">
        <f t="shared" si="36"/>
        <v>jo5c01225_si_001.zip</v>
      </c>
      <c r="X140" t="str">
        <f t="shared" si="37"/>
        <v>https://acs.figshare.com/articles/dataset/3_Hydroxyisoindolinones_from_Keto_Acids_and_Amines_A_Mild_One-Pot_Synthesis_with_Amidinium_and_Phosphonium_Salts/30006574</v>
      </c>
      <c r="Y140" s="1" t="str">
        <f t="shared" si="41"/>
        <v>--localSource c:/temp/acs2/data --targetDir c:/temp/acs2/$DOI$ --noDownload --readOnly  --pubDOI https://doi.org/10.1021/acs.joc.5c01225 --dataDOI "10.1021/acs.joc.5c01225https://acs.figshare.com/articles/dataset/3_Hydroxyisoindolinones_from_Keto_Acids_and_Amines_A_Mild_One-Pot_Synthesis_with_Amidinium_and_Phosphonium_Salts/30006574"</v>
      </c>
      <c r="Z140" t="str">
        <f t="shared" si="38"/>
        <v>&lt;br&gt;&lt;a href="https://doi.org/10.1021/acs.joc.5c01225.s001"&gt;https://doi.org/10.1021/acs.joc.5c01225.s001&lt;/a&gt;</v>
      </c>
      <c r="AA140" t="str">
        <f t="shared" si="39"/>
        <v/>
      </c>
    </row>
    <row r="141" spans="1:27" x14ac:dyDescent="0.35">
      <c r="A141">
        <v>140</v>
      </c>
      <c r="B141" s="5" t="str">
        <f t="shared" si="28"/>
        <v>jo5c01245</v>
      </c>
      <c r="C141" s="1" t="str">
        <f t="shared" si="29"/>
        <v>jo5c01245</v>
      </c>
      <c r="D141">
        <f>IF(F141=1,"",IF(AND(D140="",S140=S141),"",S141-SUM(F$2:F140)))</f>
        <v>80</v>
      </c>
      <c r="E141" t="str">
        <f t="shared" si="30"/>
        <v>0</v>
      </c>
      <c r="F141">
        <v>0</v>
      </c>
      <c r="H141">
        <v>51</v>
      </c>
      <c r="I141">
        <v>51</v>
      </c>
      <c r="M141" t="str">
        <f t="shared" si="31"/>
        <v>/*80 jo5c01245 */"https://doi.org/10.1021/acs.joc.5c01245.s002",//Electrochemically Oxidative C–H/N–H Cross-Coupling Reactions of Sulfoximines with Imidazopyridines</v>
      </c>
      <c r="N141" t="e">
        <f t="shared" si="32"/>
        <v>#N/A</v>
      </c>
      <c r="O141" t="b">
        <f t="shared" si="33"/>
        <v>0</v>
      </c>
      <c r="P141" s="13" t="s">
        <v>422</v>
      </c>
      <c r="Q141" s="13" t="s">
        <v>423</v>
      </c>
      <c r="R141" t="str">
        <f t="shared" si="34"/>
        <v>002</v>
      </c>
      <c r="S141">
        <f t="shared" si="40"/>
        <v>105</v>
      </c>
      <c r="T141" s="13" t="str">
        <f>VLOOKUP(Q141,original!B:C,2,FALSE)</f>
        <v>Electrochemically Oxidative C–H/N–H Cross-Coupling Reactions of Sulfoximines with Imidazopyridines</v>
      </c>
      <c r="U141" s="13" t="s">
        <v>424</v>
      </c>
      <c r="V141" t="str">
        <f t="shared" si="35"/>
        <v>jo5c01245</v>
      </c>
      <c r="W141" t="str">
        <f t="shared" si="36"/>
        <v>jo5c01245_si_002.zip</v>
      </c>
      <c r="X141" t="str">
        <f t="shared" si="37"/>
        <v>https://acs.figshare.com/articles/dataset/Electrochemically_Oxidative_C_H_N_H_Cross-Coupling_Reactions_of_Sulfoximines_with_Imidazopyridines/29673024</v>
      </c>
      <c r="Y141" s="1" t="str">
        <f t="shared" si="41"/>
        <v>--localSource c:/temp/acs2/data --targetDir c:/temp/acs2/$DOI$ --noDownload --readOnly  --pubDOI https://doi.org/10.1021/acs.joc.5c01245 --dataDOI "10.1021/acs.joc.5c01245https://acs.figshare.com/articles/dataset/Electrochemically_Oxidative_C_H_N_H_Cross-Coupling_Reactions_of_Sulfoximines_with_Imidazopyridines/29673024"</v>
      </c>
      <c r="Z141" t="str">
        <f t="shared" si="38"/>
        <v>&lt;br&gt;&lt;a href="https://doi.org/10.1021/acs.joc.5c01245.s002"&gt;https://doi.org/10.1021/acs.joc.5c01245.s002&lt;/a&gt;</v>
      </c>
      <c r="AA141" t="str">
        <f t="shared" si="39"/>
        <v/>
      </c>
    </row>
    <row r="142" spans="1:27" x14ac:dyDescent="0.35">
      <c r="A142">
        <v>141</v>
      </c>
      <c r="B142" s="5" t="str">
        <f t="shared" si="28"/>
        <v>jo5c01279</v>
      </c>
      <c r="C142" s="1" t="str">
        <f t="shared" si="29"/>
        <v>#jo5c01279 xyz only</v>
      </c>
      <c r="D142" t="str">
        <f>IF(F142=1,"",IF(AND(D141="",S141=S142),"",S142-SUM(F$2:F141)))</f>
        <v/>
      </c>
      <c r="E142" t="str">
        <f t="shared" si="30"/>
        <v>0</v>
      </c>
      <c r="F142">
        <v>1</v>
      </c>
      <c r="G142" t="s">
        <v>2253</v>
      </c>
      <c r="H142">
        <v>0</v>
      </c>
      <c r="I142">
        <v>0</v>
      </c>
      <c r="M142" t="str">
        <f t="shared" si="31"/>
        <v/>
      </c>
      <c r="N142" t="e">
        <f t="shared" si="32"/>
        <v>#N/A</v>
      </c>
      <c r="O142" t="b">
        <f t="shared" si="33"/>
        <v>0</v>
      </c>
      <c r="P142" s="13" t="s">
        <v>255</v>
      </c>
      <c r="Q142" s="13" t="s">
        <v>256</v>
      </c>
      <c r="R142" t="str">
        <f t="shared" si="34"/>
        <v>003</v>
      </c>
      <c r="S142">
        <f t="shared" si="40"/>
        <v>106</v>
      </c>
      <c r="T142" s="13" t="str">
        <f>VLOOKUP(Q142,original!B:C,2,FALSE)</f>
        <v>Iron-Catalyzed Oxidation of Triols Containing Vicinal Diols into Hydroxylactones: A DFT Study</v>
      </c>
      <c r="U142" s="13" t="s">
        <v>258</v>
      </c>
      <c r="V142" t="str">
        <f t="shared" si="35"/>
        <v>jo5c01279</v>
      </c>
      <c r="W142" t="str">
        <f t="shared" si="36"/>
        <v>jo5c01279_si_003.zip</v>
      </c>
      <c r="X142" t="str">
        <f t="shared" si="37"/>
        <v>https://acs.figshare.com/articles/dataset/Iron-Catalyzed_Oxidation_of_Triols_Containing_Vicinal_Diols_into_Hydroxylactones_A_DFT_Study/30299862</v>
      </c>
      <c r="Y142" s="1" t="str">
        <f t="shared" si="41"/>
        <v>--localSource c:/temp/acs2/data --targetDir c:/temp/acs2/$DOI$ --noDownload --readOnly  --pubDOI https://doi.org/10.1021/acs.joc.5c01279 --dataDOI "10.1021/acs.joc.5c01279https://acs.figshare.com/articles/dataset/Iron-Catalyzed_Oxidation_of_Triols_Containing_Vicinal_Diols_into_Hydroxylactones_A_DFT_Study/30299862"</v>
      </c>
      <c r="Z142" t="str">
        <f t="shared" si="38"/>
        <v>&lt;br&gt;&lt;a href="https://doi.org/10.1021/acs.joc.5c01279.s003"&gt;https://doi.org/10.1021/acs.joc.5c01279.s003&lt;/a&gt;</v>
      </c>
      <c r="AA142" t="str">
        <f t="shared" si="39"/>
        <v/>
      </c>
    </row>
    <row r="143" spans="1:27" x14ac:dyDescent="0.35">
      <c r="A143">
        <v>142</v>
      </c>
      <c r="B143" s="5" t="str">
        <f t="shared" si="28"/>
        <v>jo5c01353</v>
      </c>
      <c r="C143" s="1" t="str">
        <f t="shared" si="29"/>
        <v>jo5c01353</v>
      </c>
      <c r="D143">
        <f>IF(F143=1,"",IF(AND(D142="",S142=S143),"",S143-SUM(F$2:F142)))</f>
        <v>81</v>
      </c>
      <c r="E143" t="str">
        <f t="shared" si="30"/>
        <v>0</v>
      </c>
      <c r="F143">
        <v>0</v>
      </c>
      <c r="H143">
        <v>30</v>
      </c>
      <c r="I143">
        <v>42</v>
      </c>
      <c r="M143" t="str">
        <f t="shared" si="31"/>
        <v>/*81 jo5c01353 */"https://doi.org/10.1021/acs.joc.5c01353.s002",//Chiral P,N,N-Ligands for the Manganese-Catalyzed Asymmetric Formal Hydroamination of Allylic Alcohols</v>
      </c>
      <c r="N143" t="e">
        <f t="shared" si="32"/>
        <v>#N/A</v>
      </c>
      <c r="O143" t="b">
        <f t="shared" si="33"/>
        <v>0</v>
      </c>
      <c r="P143" s="13" t="s">
        <v>393</v>
      </c>
      <c r="Q143" s="13" t="s">
        <v>394</v>
      </c>
      <c r="R143" t="str">
        <f t="shared" si="34"/>
        <v>002</v>
      </c>
      <c r="S143">
        <f t="shared" si="40"/>
        <v>107</v>
      </c>
      <c r="T143" s="13" t="str">
        <f>VLOOKUP(Q143,original!B:C,2,FALSE)</f>
        <v>Chiral P,N,N-Ligands for the Manganese-Catalyzed Asymmetric Formal Hydroamination of Allylic Alcohols</v>
      </c>
      <c r="U143" s="13" t="s">
        <v>396</v>
      </c>
      <c r="V143" t="str">
        <f t="shared" si="35"/>
        <v>jo5c01353</v>
      </c>
      <c r="W143" t="str">
        <f t="shared" si="36"/>
        <v>jo5c01353_si_002.zip</v>
      </c>
      <c r="X143" t="str">
        <f t="shared" si="37"/>
        <v>https://acs.figshare.com/articles/dataset/Chiral_P_N_N-Ligands_for_the_Manganese-Catalyzed_Asymmetric_Formal_Hydroamination_of_Allylic_Alcohols/29857057</v>
      </c>
      <c r="Y143" s="1" t="str">
        <f t="shared" si="41"/>
        <v>--localSource c:/temp/acs2/data --targetDir c:/temp/acs2/$DOI$ --noDownload --readOnly  --pubDOI https://doi.org/10.1021/acs.joc.5c01353 --dataDOI "10.1021/acs.joc.5c01353https://acs.figshare.com/articles/dataset/Chiral_P_N_N-Ligands_for_the_Manganese-Catalyzed_Asymmetric_Formal_Hydroamination_of_Allylic_Alcohols/29857057"</v>
      </c>
      <c r="Z143" t="str">
        <f t="shared" si="38"/>
        <v>&lt;br&gt;&lt;a href="https://doi.org/10.1021/acs.joc.5c01353.s002"&gt;https://doi.org/10.1021/acs.joc.5c01353.s002&lt;/a&gt;</v>
      </c>
      <c r="AA143" t="str">
        <f t="shared" si="39"/>
        <v/>
      </c>
    </row>
    <row r="144" spans="1:27" x14ac:dyDescent="0.35">
      <c r="A144">
        <v>143</v>
      </c>
      <c r="B144" s="5" t="str">
        <f t="shared" si="28"/>
        <v>jo5c01387</v>
      </c>
      <c r="C144" s="1" t="str">
        <f t="shared" si="29"/>
        <v>jo5c01387</v>
      </c>
      <c r="D144">
        <f>IF(F144=1,"",IF(AND(D143="",S143=S144),"",S144-SUM(F$2:F143)))</f>
        <v>82</v>
      </c>
      <c r="E144" t="str">
        <f t="shared" si="30"/>
        <v>0</v>
      </c>
      <c r="F144">
        <v>0</v>
      </c>
      <c r="H144">
        <v>30</v>
      </c>
      <c r="I144">
        <v>43</v>
      </c>
      <c r="M144" t="str">
        <f t="shared" si="31"/>
        <v>/*82 jo5c01387 */"https://doi.org/10.1021/acs.joc.5c01387.s002",//A Noncarbenoid Approach to Imidazolidines via ZnCl2‑Catalyzed Annulation of 4‑Alkoxycarbonyl-1,2-diaza-1,3-dienes with 1,3,5-Triazinanes</v>
      </c>
      <c r="N144" t="e">
        <f t="shared" si="32"/>
        <v>#N/A</v>
      </c>
      <c r="O144" t="b">
        <f t="shared" si="33"/>
        <v>0</v>
      </c>
      <c r="P144" s="13" t="s">
        <v>325</v>
      </c>
      <c r="Q144" s="13" t="s">
        <v>326</v>
      </c>
      <c r="R144" t="str">
        <f t="shared" si="34"/>
        <v>002</v>
      </c>
      <c r="S144">
        <f t="shared" si="40"/>
        <v>108</v>
      </c>
      <c r="T144" s="13" t="str">
        <f>VLOOKUP(Q144,original!B:C,2,FALSE)</f>
        <v>A Noncarbenoid Approach to Imidazolidines via ZnCl2‑Catalyzed Annulation of 4‑Alkoxycarbonyl-1,2-diaza-1,3-dienes with 1,3,5-Triazinanes</v>
      </c>
      <c r="U144" s="13" t="s">
        <v>327</v>
      </c>
      <c r="V144" t="str">
        <f t="shared" si="35"/>
        <v>jo5c01387</v>
      </c>
      <c r="W144" t="str">
        <f t="shared" si="36"/>
        <v>jo5c01387_si_002.zip</v>
      </c>
      <c r="X144" t="str">
        <f t="shared" si="37"/>
        <v>https://acs.figshare.com/articles/dataset/A_Noncarbenoid_Approach_to_Imidazolidines_via_ZnCl_sub_2_sub_Catalyzed_Annulation_of_4_Alkoxycarbonyl-1_2-diaza-1_3-dienes_with_1_3_5-Triazinanes/30009329</v>
      </c>
      <c r="Y144" s="1" t="str">
        <f t="shared" si="41"/>
        <v>--localSource c:/temp/acs2/data --targetDir c:/temp/acs2/$DOI$ --noDownload --readOnly  --pubDOI https://doi.org/10.1021/acs.joc.5c01387 --dataDOI "10.1021/acs.joc.5c01387https://acs.figshare.com/articles/dataset/A_Noncarbenoid_Approach_to_Imidazolidines_via_ZnCl_sub_2_sub_Catalyzed_Annulation_of_4_Alkoxycarbonyl-1_2-diaza-1_3-dienes_with_1_3_5-Triazinanes/30009329"</v>
      </c>
      <c r="Z144" t="str">
        <f t="shared" si="38"/>
        <v>&lt;br&gt;&lt;a href="https://doi.org/10.1021/acs.joc.5c01387.s002"&gt;https://doi.org/10.1021/acs.joc.5c01387.s002&lt;/a&gt;</v>
      </c>
      <c r="AA144" t="str">
        <f t="shared" si="39"/>
        <v/>
      </c>
    </row>
    <row r="145" spans="1:27" x14ac:dyDescent="0.35">
      <c r="A145">
        <v>144</v>
      </c>
      <c r="B145" s="5" t="str">
        <f t="shared" si="28"/>
        <v>jo5c01409</v>
      </c>
      <c r="C145" s="1" t="str">
        <f t="shared" si="29"/>
        <v>jo5c01409</v>
      </c>
      <c r="D145">
        <f>IF(F145=1,"",IF(AND(D144="",S144=S145),"",S145-SUM(F$2:F144)))</f>
        <v>83</v>
      </c>
      <c r="E145" t="str">
        <f t="shared" si="30"/>
        <v>0</v>
      </c>
      <c r="F145">
        <v>0</v>
      </c>
      <c r="H145">
        <v>13</v>
      </c>
      <c r="I145">
        <v>28</v>
      </c>
      <c r="J145">
        <v>1</v>
      </c>
      <c r="M145" t="str">
        <f t="shared" si="31"/>
        <v>/*83 jo5c01409 */"https://doi.org/10.1021/acs.joc.5c01409.s002",//Total Synthesis of Alanense B via Stereoselective Enolate Alkylation</v>
      </c>
      <c r="N145" t="e">
        <f t="shared" si="32"/>
        <v>#N/A</v>
      </c>
      <c r="O145" t="b">
        <f t="shared" si="33"/>
        <v>0</v>
      </c>
      <c r="P145" s="13" t="s">
        <v>264</v>
      </c>
      <c r="Q145" s="13" t="s">
        <v>265</v>
      </c>
      <c r="R145" t="str">
        <f t="shared" si="34"/>
        <v>002</v>
      </c>
      <c r="S145">
        <f t="shared" si="40"/>
        <v>109</v>
      </c>
      <c r="T145" s="13" t="str">
        <f>VLOOKUP(Q145,original!B:C,2,FALSE)</f>
        <v>Total Synthesis of Alanense B via Stereoselective Enolate Alkylation</v>
      </c>
      <c r="U145" s="13" t="s">
        <v>267</v>
      </c>
      <c r="V145" t="str">
        <f t="shared" si="35"/>
        <v>jo5c01409</v>
      </c>
      <c r="W145" t="str">
        <f t="shared" si="36"/>
        <v>jo5c01409_si_002.zip</v>
      </c>
      <c r="X145" t="str">
        <f t="shared" si="37"/>
        <v>https://acs.figshare.com/articles/dataset/Total_Synthesis_of_Alanense_B_via_Stereoselective_Enolate_Alkylation/30171724</v>
      </c>
      <c r="Y145" s="1" t="str">
        <f t="shared" si="41"/>
        <v>--localSource c:/temp/acs2/data --targetDir c:/temp/acs2/$DOI$ --noDownload --readOnly  --pubDOI https://doi.org/10.1021/acs.joc.5c01409 --dataDOI "10.1021/acs.joc.5c01409https://acs.figshare.com/articles/dataset/Total_Synthesis_of_Alanense_B_via_Stereoselective_Enolate_Alkylation/30171724"</v>
      </c>
      <c r="Z145" t="str">
        <f t="shared" si="38"/>
        <v>&lt;br&gt;&lt;a href="https://doi.org/10.1021/acs.joc.5c01409.s002"&gt;https://doi.org/10.1021/acs.joc.5c01409.s002&lt;/a&gt;</v>
      </c>
      <c r="AA145" t="str">
        <f t="shared" si="39"/>
        <v/>
      </c>
    </row>
    <row r="146" spans="1:27" x14ac:dyDescent="0.35">
      <c r="A146">
        <v>145</v>
      </c>
      <c r="B146" s="5" t="str">
        <f t="shared" si="28"/>
        <v>jo5c01422</v>
      </c>
      <c r="C146" s="1" t="str">
        <f t="shared" si="29"/>
        <v>jo5c01422</v>
      </c>
      <c r="D146">
        <f>IF(F146=1,"",IF(AND(D145="",S145=S146),"",S146-SUM(F$2:F145)))</f>
        <v>84</v>
      </c>
      <c r="E146" t="str">
        <f t="shared" si="30"/>
        <v>0</v>
      </c>
      <c r="F146">
        <v>0</v>
      </c>
      <c r="H146">
        <v>26</v>
      </c>
      <c r="I146">
        <v>56</v>
      </c>
      <c r="M146" t="str">
        <f t="shared" si="31"/>
        <v>/*84 jo5c01422 */"https://doi.org/10.1021/acs.joc.5c01422.s002",//Regioselectivity Switching in the Tandem Reaction of Skipped Diynones with Allylic Alcohols: Stereoselective Synthesis of 4‑Allyl-2-Methylene-3(2&lt;i&gt;H&lt;/i&gt;)‑Furanones</v>
      </c>
      <c r="N146" t="e">
        <f t="shared" si="32"/>
        <v>#N/A</v>
      </c>
      <c r="O146" t="b">
        <f t="shared" si="33"/>
        <v>0</v>
      </c>
      <c r="P146" s="13" t="s">
        <v>377</v>
      </c>
      <c r="Q146" s="13" t="s">
        <v>378</v>
      </c>
      <c r="R146" t="str">
        <f t="shared" si="34"/>
        <v>002</v>
      </c>
      <c r="S146">
        <f t="shared" si="40"/>
        <v>110</v>
      </c>
      <c r="T146" s="13" t="str">
        <f>VLOOKUP(Q146,original!B:C,2,FALSE)</f>
        <v>Regioselectivity Switching in the Tandem Reaction of Skipped Diynones with Allylic Alcohols: Stereoselective Synthesis of 4‑Allyl-2-Methylene-3(2&lt;i&gt;H&lt;/i&gt;)‑Furanones</v>
      </c>
      <c r="U146" s="13" t="s">
        <v>379</v>
      </c>
      <c r="V146" t="str">
        <f t="shared" si="35"/>
        <v>jo5c01422</v>
      </c>
      <c r="W146" t="str">
        <f t="shared" si="36"/>
        <v>jo5c01422_si_002.zip</v>
      </c>
      <c r="X146" t="str">
        <f t="shared" si="37"/>
        <v>https://acs.figshare.com/articles/dataset/Regioselectivity_Switching_in_the_Tandem_Reaction_of_Skipped_Diynones_with_Allylic_Alcohols_Stereoselective_Synthesis_of_4_Allyl-2-Methylene-3_2_i_H_i_Furanones/29917222</v>
      </c>
      <c r="Y146" s="1" t="str">
        <f t="shared" si="41"/>
        <v>--localSource c:/temp/acs2/data --targetDir c:/temp/acs2/$DOI$ --noDownload --readOnly  --pubDOI https://doi.org/10.1021/acs.joc.5c01422 --dataDOI "10.1021/acs.joc.5c01422https://acs.figshare.com/articles/dataset/Regioselectivity_Switching_in_the_Tandem_Reaction_of_Skipped_Diynones_with_Allylic_Alcohols_Stereoselective_Synthesis_of_4_Allyl-2-Methylene-3_2_i_H_i_Furanones/29917222"</v>
      </c>
      <c r="Z146" t="str">
        <f t="shared" si="38"/>
        <v>&lt;br&gt;&lt;a href="https://doi.org/10.1021/acs.joc.5c01422.s002"&gt;https://doi.org/10.1021/acs.joc.5c01422.s002&lt;/a&gt;</v>
      </c>
      <c r="AA146" t="str">
        <f t="shared" si="39"/>
        <v/>
      </c>
    </row>
    <row r="147" spans="1:27" x14ac:dyDescent="0.35">
      <c r="A147">
        <v>146</v>
      </c>
      <c r="B147" s="5" t="str">
        <f t="shared" si="28"/>
        <v>jo5c01427</v>
      </c>
      <c r="C147" s="1" t="str">
        <f t="shared" si="29"/>
        <v>jo5c01427</v>
      </c>
      <c r="D147">
        <f>IF(F147=1,"",IF(AND(D146="",S146=S147),"",S147-SUM(F$2:F146)))</f>
        <v>85</v>
      </c>
      <c r="E147" t="str">
        <f t="shared" si="30"/>
        <v>0</v>
      </c>
      <c r="F147">
        <v>0</v>
      </c>
      <c r="H147">
        <v>51</v>
      </c>
      <c r="I147">
        <v>82</v>
      </c>
      <c r="M147" t="str">
        <f t="shared" si="31"/>
        <v>/*85 jo5c01427 */"https://doi.org/10.1021/acs.joc.5c01427.s002",//Substrate-Directed Annulative-Sulfonylation/Desulfonylation Cascade Using (E)‑β-Iodovinyl Sulfones: A Diverse Approach for the Synthesis of Imidazo[1,2‑a]pyridines with Sulfone Motifs</v>
      </c>
      <c r="N147" t="e">
        <f t="shared" si="32"/>
        <v>#N/A</v>
      </c>
      <c r="O147" t="b">
        <f t="shared" si="33"/>
        <v>0</v>
      </c>
      <c r="P147" s="13" t="s">
        <v>169</v>
      </c>
      <c r="Q147" s="13" t="s">
        <v>170</v>
      </c>
      <c r="R147" t="str">
        <f t="shared" si="34"/>
        <v>002</v>
      </c>
      <c r="S147">
        <f t="shared" si="40"/>
        <v>111</v>
      </c>
      <c r="T147" s="13" t="str">
        <f>VLOOKUP(Q147,original!B:C,2,FALSE)</f>
        <v>Substrate-Directed Annulative-Sulfonylation/Desulfonylation Cascade Using (E)‑β-Iodovinyl Sulfones: A Diverse Approach for the Synthesis of Imidazo[1,2‑a]pyridines with Sulfone Motifs</v>
      </c>
      <c r="U147" s="13" t="s">
        <v>171</v>
      </c>
      <c r="V147" t="str">
        <f t="shared" si="35"/>
        <v>jo5c01427</v>
      </c>
      <c r="W147" t="str">
        <f t="shared" si="36"/>
        <v>jo5c01427_si_002.zip</v>
      </c>
      <c r="X147" t="str">
        <f t="shared" si="37"/>
        <v>https://acs.figshare.com/articles/dataset/Substrate-Directed_Annulative-Sulfonylation_Desulfonylation_Cascade_Using_i_E_i_-Iodovinyl_Sulfones_A_Diverse_Approach_for_the_Synthesis_of_Imidazo_1_2_i_a_i_pyridines_with_Sulfone_Motifs/30529342</v>
      </c>
      <c r="Y147" s="1" t="str">
        <f t="shared" si="41"/>
        <v>--localSource c:/temp/acs2/data --targetDir c:/temp/acs2/$DOI$ --noDownload --readOnly  --pubDOI https://doi.org/10.1021/acs.joc.5c01427 --dataDOI "10.1021/acs.joc.5c01427https://acs.figshare.com/articles/dataset/Substrate-Directed_Annulative-Sulfonylation_Desulfonylation_Cascade_Using_i_E_i_-Iodovinyl_Sulfones_A_Diverse_Approach_for_the_Synthesis_of_Imidazo_1_2_i_a_i_pyridines_with_Sulfone_Motifs/30529342"</v>
      </c>
      <c r="Z147" t="str">
        <f t="shared" si="38"/>
        <v>&lt;br&gt;&lt;a href="https://doi.org/10.1021/acs.joc.5c01427.s002"&gt;https://doi.org/10.1021/acs.joc.5c01427.s002&lt;/a&gt;</v>
      </c>
      <c r="AA147" t="str">
        <f t="shared" si="39"/>
        <v/>
      </c>
    </row>
    <row r="148" spans="1:27" x14ac:dyDescent="0.35">
      <c r="A148">
        <v>147</v>
      </c>
      <c r="B148" s="5" t="str">
        <f t="shared" si="28"/>
        <v>jo5c01465</v>
      </c>
      <c r="C148" s="1" t="str">
        <f t="shared" si="29"/>
        <v/>
      </c>
      <c r="D148">
        <f>IF(F148=1,"",IF(AND(D147="",S147=S148),"",S148-SUM(F$2:F147)))</f>
        <v>86</v>
      </c>
      <c r="E148" t="str">
        <f t="shared" si="30"/>
        <v>0</v>
      </c>
      <c r="F148">
        <v>0</v>
      </c>
      <c r="M148" t="str">
        <f t="shared" si="31"/>
        <v>/*86 jo5c01465 */"https://doi.org/10.1021/acs.joc.5c01465.s002",//Copper-Catalyzed Vinylsulfonium Salt Diversification with P(O)–OH Bonds: Phosphoryloxylation via an Ionic Ring-Opening Process</v>
      </c>
      <c r="N148" t="e">
        <f t="shared" si="32"/>
        <v>#N/A</v>
      </c>
      <c r="O148" t="b">
        <f t="shared" si="33"/>
        <v>0</v>
      </c>
      <c r="P148" s="13" t="s">
        <v>285</v>
      </c>
      <c r="Q148" s="13" t="s">
        <v>286</v>
      </c>
      <c r="R148" t="str">
        <f t="shared" si="34"/>
        <v>002</v>
      </c>
      <c r="S148">
        <f t="shared" si="40"/>
        <v>112</v>
      </c>
      <c r="T148" s="13" t="str">
        <f>VLOOKUP(Q148,original!B:C,2,FALSE)</f>
        <v>Copper-Catalyzed Vinylsulfonium Salt Diversification with P(O)–OH Bonds: Phosphoryloxylation via an Ionic Ring-Opening Process</v>
      </c>
      <c r="U148" s="13" t="s">
        <v>280</v>
      </c>
      <c r="V148" t="str">
        <f t="shared" si="35"/>
        <v>jo5c01465</v>
      </c>
      <c r="W148" t="str">
        <f t="shared" si="36"/>
        <v>jo5c01465_si_002.zip</v>
      </c>
      <c r="X148" t="str">
        <f t="shared" si="37"/>
        <v>https://acs.figshare.com/articles/dataset/Copper-Catalyzed_Vinylsulfonium_Salt_Diversification_with_P_O_OH_Bonds_Phosphoryloxylation_via_an_Ionic_Ring-Opening_Process/30138106</v>
      </c>
      <c r="Y148" s="1" t="str">
        <f t="shared" si="41"/>
        <v/>
      </c>
      <c r="Z148" t="str">
        <f t="shared" si="38"/>
        <v>&lt;br&gt;&lt;a href="https://doi.org/10.1021/acs.joc.5c01465.s002"&gt;https://doi.org/10.1021/acs.joc.5c01465.s002&lt;/a&gt;</v>
      </c>
      <c r="AA148" t="str">
        <f t="shared" si="39"/>
        <v/>
      </c>
    </row>
    <row r="149" spans="1:27" x14ac:dyDescent="0.35">
      <c r="A149">
        <v>148</v>
      </c>
      <c r="B149" s="5" t="str">
        <f t="shared" si="28"/>
        <v>jo5c01465</v>
      </c>
      <c r="C149" s="1" t="str">
        <f t="shared" si="29"/>
        <v/>
      </c>
      <c r="D149">
        <f>IF(F149=1,"",IF(AND(D148="",S148=S149),"",S149-SUM(F$2:F148)))</f>
        <v>86</v>
      </c>
      <c r="E149" t="str">
        <f t="shared" si="30"/>
        <v>1</v>
      </c>
      <c r="F149">
        <v>0</v>
      </c>
      <c r="M149" t="str">
        <f t="shared" si="31"/>
        <v>/*86 jo5c01465 */"https://doi.org/10.1021/acs.joc.5c01465.s003",//Copper-Catalyzed Vinylsulfonium Salt Diversification with P(O)–OH Bonds: Phosphoryloxylation via an Ionic Ring-Opening Process</v>
      </c>
      <c r="N149" t="e">
        <f t="shared" si="32"/>
        <v>#N/A</v>
      </c>
      <c r="O149" t="b">
        <f t="shared" si="33"/>
        <v>0</v>
      </c>
      <c r="P149" s="13" t="s">
        <v>283</v>
      </c>
      <c r="Q149" s="13" t="s">
        <v>284</v>
      </c>
      <c r="R149" t="str">
        <f t="shared" si="34"/>
        <v>003</v>
      </c>
      <c r="S149">
        <f t="shared" si="40"/>
        <v>112</v>
      </c>
      <c r="T149" s="13" t="str">
        <f>VLOOKUP(Q149,original!B:C,2,FALSE)</f>
        <v>Copper-Catalyzed Vinylsulfonium Salt Diversification with P(O)–OH Bonds: Phosphoryloxylation via an Ionic Ring-Opening Process</v>
      </c>
      <c r="U149" s="13" t="s">
        <v>280</v>
      </c>
      <c r="V149" t="str">
        <f t="shared" si="35"/>
        <v>jo5c01465</v>
      </c>
      <c r="W149" t="str">
        <f t="shared" si="36"/>
        <v>jo5c01465_si_003.zip</v>
      </c>
      <c r="X149" t="str">
        <f t="shared" si="37"/>
        <v>https://acs.figshare.com/articles/dataset/Copper-Catalyzed_Vinylsulfonium_Salt_Diversification_with_P_O_OH_Bonds_Phosphoryloxylation_via_an_Ionic_Ring-Opening_Process/30138106\thttps://acs.figshare.com/articles/dataset/Copper-Catalyzed_Vinylsulfonium_Salt_Diversification_with_P_O_OH_Bonds_Phosphoryloxylation_via_an_Ionic_Ring-Opening_Process/30138109</v>
      </c>
      <c r="Y149" s="1" t="str">
        <f t="shared" si="41"/>
        <v/>
      </c>
      <c r="Z149" t="str">
        <f t="shared" si="38"/>
        <v>&lt;br&gt;&lt;a href="https://doi.org/10.1021/acs.joc.5c01465.s003"&gt;https://doi.org/10.1021/acs.joc.5c01465.s003&lt;/a&gt;</v>
      </c>
      <c r="AA149" t="str">
        <f t="shared" si="39"/>
        <v/>
      </c>
    </row>
    <row r="150" spans="1:27" x14ac:dyDescent="0.35">
      <c r="A150">
        <v>149</v>
      </c>
      <c r="B150" s="5" t="str">
        <f t="shared" si="28"/>
        <v>jo5c01465</v>
      </c>
      <c r="C150" s="1" t="str">
        <f t="shared" si="29"/>
        <v/>
      </c>
      <c r="D150">
        <f>IF(F150=1,"",IF(AND(D149="",S149=S150),"",S150-SUM(F$2:F149)))</f>
        <v>86</v>
      </c>
      <c r="E150" t="str">
        <f t="shared" si="30"/>
        <v>1</v>
      </c>
      <c r="F150">
        <v>0</v>
      </c>
      <c r="M150" t="str">
        <f t="shared" si="31"/>
        <v>/*86 jo5c01465 */"https://doi.org/10.1021/acs.joc.5c01465.s004",//Copper-Catalyzed Vinylsulfonium Salt Diversification with P(O)–OH Bonds: Phosphoryloxylation via an Ionic Ring-Opening Process</v>
      </c>
      <c r="N150" t="e">
        <f t="shared" si="32"/>
        <v>#N/A</v>
      </c>
      <c r="O150" t="b">
        <f t="shared" si="33"/>
        <v>0</v>
      </c>
      <c r="P150" s="13" t="s">
        <v>281</v>
      </c>
      <c r="Q150" s="13" t="s">
        <v>282</v>
      </c>
      <c r="R150" t="str">
        <f t="shared" si="34"/>
        <v>004</v>
      </c>
      <c r="S150">
        <f t="shared" si="40"/>
        <v>112</v>
      </c>
      <c r="T150" s="13" t="str">
        <f>VLOOKUP(Q150,original!B:C,2,FALSE)</f>
        <v>Copper-Catalyzed Vinylsulfonium Salt Diversification with P(O)–OH Bonds: Phosphoryloxylation via an Ionic Ring-Opening Process</v>
      </c>
      <c r="U150" s="13" t="s">
        <v>280</v>
      </c>
      <c r="V150" t="str">
        <f t="shared" si="35"/>
        <v>jo5c01465</v>
      </c>
      <c r="W150" t="str">
        <f t="shared" si="36"/>
        <v>jo5c01465_si_004.zip</v>
      </c>
      <c r="X150" t="str">
        <f t="shared" si="37"/>
        <v>https://acs.figshare.com/articles/dataset/Copper-Catalyzed_Vinylsulfonium_Salt_Diversification_with_P_O_OH_Bonds_Phosphoryloxylation_via_an_Ionic_Ring-Opening_Process/30138106\thttps://acs.figshare.com/articles/dataset/Copper-Catalyzed_Vinylsulfonium_Salt_Diversification_with_P_O_OH_Bonds_Phosphoryloxylation_via_an_Ionic_Ring-Opening_Process/30138109\thttps://acs.figshare.com/articles/dataset/Copper-Catalyzed_Vinylsulfonium_Salt_Diversification_with_P_O_OH_Bonds_Phosphoryloxylation_via_an_Ionic_Ring-Opening_Process/30138112</v>
      </c>
      <c r="Y150" s="1" t="str">
        <f t="shared" si="41"/>
        <v/>
      </c>
      <c r="Z150" t="str">
        <f t="shared" si="38"/>
        <v>&lt;br&gt;&lt;a href="https://doi.org/10.1021/acs.joc.5c01465.s004"&gt;https://doi.org/10.1021/acs.joc.5c01465.s004&lt;/a&gt;</v>
      </c>
      <c r="AA150" t="str">
        <f t="shared" si="39"/>
        <v/>
      </c>
    </row>
    <row r="151" spans="1:27" x14ac:dyDescent="0.35">
      <c r="A151">
        <v>150</v>
      </c>
      <c r="B151" s="5" t="str">
        <f t="shared" si="28"/>
        <v>jo5c01465</v>
      </c>
      <c r="C151" s="1" t="str">
        <f t="shared" si="29"/>
        <v>jo5c01465</v>
      </c>
      <c r="D151">
        <f>IF(F151=1,"",IF(AND(D150="",S150=S151),"",S151-SUM(F$2:F150)))</f>
        <v>86</v>
      </c>
      <c r="E151" t="str">
        <f t="shared" si="30"/>
        <v>1</v>
      </c>
      <c r="F151">
        <v>0</v>
      </c>
      <c r="H151">
        <v>43</v>
      </c>
      <c r="I151">
        <v>163</v>
      </c>
      <c r="M151" t="str">
        <f t="shared" si="31"/>
        <v>/*86 jo5c01465 */"https://doi.org/10.1021/acs.joc.5c01465.s005",//Copper-Catalyzed Vinylsulfonium Salt Diversification with P(O)–OH Bonds: Phosphoryloxylation via an Ionic Ring-Opening Process</v>
      </c>
      <c r="N151" t="e">
        <f t="shared" si="32"/>
        <v>#N/A</v>
      </c>
      <c r="O151" t="b">
        <f t="shared" si="33"/>
        <v>0</v>
      </c>
      <c r="P151" s="13" t="s">
        <v>278</v>
      </c>
      <c r="Q151" s="13" t="s">
        <v>279</v>
      </c>
      <c r="R151" t="str">
        <f t="shared" si="34"/>
        <v>005</v>
      </c>
      <c r="S151">
        <f t="shared" si="40"/>
        <v>112</v>
      </c>
      <c r="T151" s="13" t="str">
        <f>VLOOKUP(Q151,original!B:C,2,FALSE)</f>
        <v>Copper-Catalyzed Vinylsulfonium Salt Diversification with P(O)–OH Bonds: Phosphoryloxylation via an Ionic Ring-Opening Process</v>
      </c>
      <c r="U151" s="13" t="s">
        <v>280</v>
      </c>
      <c r="V151" t="str">
        <f t="shared" si="35"/>
        <v>jo5c01465</v>
      </c>
      <c r="W151" t="str">
        <f t="shared" si="36"/>
        <v>jo5c01465_si_005.zip</v>
      </c>
      <c r="X151" t="str">
        <f t="shared" si="37"/>
        <v>https://acs.figshare.com/articles/dataset/Copper-Catalyzed_Vinylsulfonium_Salt_Diversification_with_P_O_OH_Bonds_Phosphoryloxylation_via_an_Ionic_Ring-Opening_Process/30138106\thttps://acs.figshare.com/articles/dataset/Copper-Catalyzed_Vinylsulfonium_Salt_Diversification_with_P_O_OH_Bonds_Phosphoryloxylation_via_an_Ionic_Ring-Opening_Process/30138109\thttps://acs.figshare.com/articles/dataset/Copper-Catalyzed_Vinylsulfonium_Salt_Diversification_with_P_O_OH_Bonds_Phosphoryloxylation_via_an_Ionic_Ring-Opening_Process/30138112\thttps://acs.figshare.com/articles/dataset/Copper-Catalyzed_Vinylsulfonium_Salt_Diversification_with_P_O_OH_Bonds_Phosphoryloxylation_via_an_Ionic_Ring-Opening_Process/30138115</v>
      </c>
      <c r="Y151" s="1" t="str">
        <f t="shared" si="41"/>
        <v>--localSource c:/temp/acs2/data --targetDir c:/temp/acs2/$DOI$ --noDownload --readOnly  --pubDOI https://doi.org/10.1021/acs.joc.5c01465 --dataDOI "10.1021/acs.joc.5c01465https://acs.figshare.com/articles/dataset/Copper-Catalyzed_Vinylsulfonium_Salt_Diversification_with_P_O_OH_Bonds_Phosphoryloxylation_via_an_Ionic_Ring-Opening_Process/30138106\thttps://acs.figshare.com/articles/dataset/Copper-Catalyzed_Vinylsulfonium_Salt_Diversification_with_P_O_OH_Bonds_Phosphoryloxylation_via_an_Ionic_Ring-Opening_Process/30138109\thttps://acs.figshare.com/articles/dataset/Copper-Catalyzed_Vinylsulfonium_Salt_Diversification_with_P_O_OH_Bonds_Phosphoryloxylation_via_an_Ionic_Ring-Opening_Process/30138112\thttps://acs.figshare.com/articles/dataset/Copper-Catalyzed_Vinylsulfonium_Salt_Diversification_with_P_O_OH_Bonds_Phosphoryloxylation_via_an_Ionic_Ring-Opening_Process/30138115"</v>
      </c>
      <c r="Z151" t="str">
        <f t="shared" si="38"/>
        <v>&lt;br&gt;&lt;a href="https://doi.org/10.1021/acs.joc.5c01465.s005"&gt;https://doi.org/10.1021/acs.joc.5c01465.s005&lt;/a&gt;</v>
      </c>
      <c r="AA151" t="str">
        <f t="shared" si="39"/>
        <v/>
      </c>
    </row>
    <row r="152" spans="1:27" x14ac:dyDescent="0.35">
      <c r="A152">
        <v>151</v>
      </c>
      <c r="B152" s="5" t="str">
        <f t="shared" si="28"/>
        <v>jo5c01466</v>
      </c>
      <c r="C152" s="1" t="str">
        <f t="shared" si="29"/>
        <v>#jo5c01466 xyz only</v>
      </c>
      <c r="D152" t="str">
        <f>IF(F152=1,"",IF(AND(D151="",S151=S152),"",S152-SUM(F$2:F151)))</f>
        <v/>
      </c>
      <c r="E152" t="str">
        <f t="shared" si="30"/>
        <v>0</v>
      </c>
      <c r="F152">
        <v>1</v>
      </c>
      <c r="G152" t="s">
        <v>2253</v>
      </c>
      <c r="H152">
        <v>0</v>
      </c>
      <c r="I152">
        <v>0</v>
      </c>
      <c r="M152" t="str">
        <f t="shared" si="31"/>
        <v/>
      </c>
      <c r="N152" t="e">
        <f t="shared" si="32"/>
        <v>#N/A</v>
      </c>
      <c r="O152" t="b">
        <f t="shared" si="33"/>
        <v>0</v>
      </c>
      <c r="P152" s="13" t="s">
        <v>252</v>
      </c>
      <c r="Q152" s="13" t="s">
        <v>253</v>
      </c>
      <c r="R152" t="str">
        <f t="shared" si="34"/>
        <v>002</v>
      </c>
      <c r="S152">
        <f t="shared" si="40"/>
        <v>113</v>
      </c>
      <c r="T152" s="13" t="str">
        <f>VLOOKUP(Q152,original!B:C,2,FALSE)</f>
        <v>Origin of Substituent-Modulated Regioselectivity in Phosphine-Catalyzed [3 + 2] Cyclization of Allenoates and Enones: A Kinetic Shift toward Curtin–Hammett Control</v>
      </c>
      <c r="U152" s="13" t="s">
        <v>254</v>
      </c>
      <c r="V152" t="str">
        <f t="shared" si="35"/>
        <v>jo5c01466</v>
      </c>
      <c r="W152" t="str">
        <f t="shared" si="36"/>
        <v>jo5c01466_si_002.zip</v>
      </c>
      <c r="X152" t="str">
        <f t="shared" si="37"/>
        <v>https://acs.figshare.com/articles/dataset/Origin_of_Substituent-Modulated_Regioselectivity_in_Phosphine-Catalyzed_3_2_Cyclization_of_Allenoates_and_Enones_A_Kinetic_Shift_toward_Curtin_Hammett_Control/30305436</v>
      </c>
      <c r="Y152" s="1" t="str">
        <f t="shared" si="41"/>
        <v>--localSource c:/temp/acs2/data --targetDir c:/temp/acs2/$DOI$ --noDownload --readOnly  --pubDOI https://doi.org/10.1021/acs.joc.5c01466 --dataDOI "10.1021/acs.joc.5c01466https://acs.figshare.com/articles/dataset/Origin_of_Substituent-Modulated_Regioselectivity_in_Phosphine-Catalyzed_3_2_Cyclization_of_Allenoates_and_Enones_A_Kinetic_Shift_toward_Curtin_Hammett_Control/30305436"</v>
      </c>
      <c r="Z152" t="str">
        <f t="shared" si="38"/>
        <v>&lt;br&gt;&lt;a href="https://doi.org/10.1021/acs.joc.5c01466.s002"&gt;https://doi.org/10.1021/acs.joc.5c01466.s002&lt;/a&gt;</v>
      </c>
      <c r="AA152" t="str">
        <f t="shared" si="39"/>
        <v/>
      </c>
    </row>
    <row r="153" spans="1:27" x14ac:dyDescent="0.35">
      <c r="A153">
        <v>152</v>
      </c>
      <c r="B153" s="5" t="str">
        <f t="shared" si="28"/>
        <v>jo5c01490</v>
      </c>
      <c r="C153" s="1" t="str">
        <f t="shared" si="29"/>
        <v/>
      </c>
      <c r="D153">
        <f>IF(F153=1,"",IF(AND(D152="",S152=S153),"",S153-SUM(F$2:F152)))</f>
        <v>87</v>
      </c>
      <c r="E153" t="str">
        <f t="shared" si="30"/>
        <v>0</v>
      </c>
      <c r="F153">
        <v>0</v>
      </c>
      <c r="M153" t="str">
        <f t="shared" si="31"/>
        <v>/*87 jo5c01490 */"https://doi.org/10.1021/acs.joc.5c01490.s002",//Synthesis of 2‑Trifluoromethylindolines via Rh(III)-Catalyzed Chelation-Assisted C–H Bond Activation and Annulation of Anilines with CF3‑Imidoyl Sulfoxonium Ylides</v>
      </c>
      <c r="N153" t="e">
        <f t="shared" si="32"/>
        <v>#N/A</v>
      </c>
      <c r="O153" t="b">
        <f t="shared" si="33"/>
        <v>0</v>
      </c>
      <c r="P153" s="13" t="s">
        <v>355</v>
      </c>
      <c r="Q153" s="13" t="s">
        <v>356</v>
      </c>
      <c r="R153" t="str">
        <f t="shared" si="34"/>
        <v>002</v>
      </c>
      <c r="S153">
        <f t="shared" si="40"/>
        <v>114</v>
      </c>
      <c r="T153" s="13" t="str">
        <f>VLOOKUP(Q153,original!B:C,2,FALSE)</f>
        <v>Synthesis of 2‑Trifluoromethylindolines via Rh(III)-Catalyzed Chelation-Assisted C–H Bond Activation and Annulation of Anilines with CF3‑Imidoyl Sulfoxonium Ylides</v>
      </c>
      <c r="U153" s="13" t="s">
        <v>352</v>
      </c>
      <c r="V153" t="str">
        <f t="shared" si="35"/>
        <v>jo5c01490</v>
      </c>
      <c r="W153" t="str">
        <f t="shared" si="36"/>
        <v>jo5c01490_si_002.zip</v>
      </c>
      <c r="X153" t="str">
        <f t="shared" si="37"/>
        <v>https://acs.figshare.com/articles/dataset/Synthesis_of_2_Trifluoromethylindolines_via_Rh_III_-Catalyzed_Chelation-Assisted_C_H_Bond_Activation_and_Annulation_of_Anilines_with_CF_sub_3_sub_Imidoyl_Sulfoxonium_Ylides/29977823</v>
      </c>
      <c r="Y153" s="1" t="str">
        <f t="shared" si="41"/>
        <v/>
      </c>
      <c r="Z153" t="str">
        <f t="shared" si="38"/>
        <v>&lt;br&gt;&lt;a href="https://doi.org/10.1021/acs.joc.5c01490.s002"&gt;https://doi.org/10.1021/acs.joc.5c01490.s002&lt;/a&gt;</v>
      </c>
      <c r="AA153" t="str">
        <f t="shared" si="39"/>
        <v/>
      </c>
    </row>
    <row r="154" spans="1:27" x14ac:dyDescent="0.35">
      <c r="A154">
        <v>153</v>
      </c>
      <c r="B154" s="5" t="str">
        <f t="shared" si="28"/>
        <v>jo5c01490</v>
      </c>
      <c r="C154" s="1" t="str">
        <f t="shared" si="29"/>
        <v/>
      </c>
      <c r="D154">
        <f>IF(F154=1,"",IF(AND(D153="",S153=S154),"",S154-SUM(F$2:F153)))</f>
        <v>87</v>
      </c>
      <c r="E154" t="str">
        <f t="shared" si="30"/>
        <v>1</v>
      </c>
      <c r="F154">
        <v>0</v>
      </c>
      <c r="M154" t="str">
        <f t="shared" si="31"/>
        <v>/*87 jo5c01490 */"https://doi.org/10.1021/acs.joc.5c01490.s003",//Synthesis of 2‑Trifluoromethylindolines via Rh(III)-Catalyzed Chelation-Assisted C–H Bond Activation and Annulation of Anilines with CF3‑Imidoyl Sulfoxonium Ylides</v>
      </c>
      <c r="N154" t="e">
        <f t="shared" si="32"/>
        <v>#N/A</v>
      </c>
      <c r="O154" t="b">
        <f t="shared" si="33"/>
        <v>0</v>
      </c>
      <c r="P154" s="13" t="s">
        <v>353</v>
      </c>
      <c r="Q154" s="13" t="s">
        <v>354</v>
      </c>
      <c r="R154" t="str">
        <f t="shared" si="34"/>
        <v>003</v>
      </c>
      <c r="S154">
        <f t="shared" si="40"/>
        <v>114</v>
      </c>
      <c r="T154" s="13" t="str">
        <f>VLOOKUP(Q154,original!B:C,2,FALSE)</f>
        <v>Synthesis of 2‑Trifluoromethylindolines via Rh(III)-Catalyzed Chelation-Assisted C–H Bond Activation and Annulation of Anilines with CF3‑Imidoyl Sulfoxonium Ylides</v>
      </c>
      <c r="U154" s="13" t="s">
        <v>352</v>
      </c>
      <c r="V154" t="str">
        <f t="shared" si="35"/>
        <v>jo5c01490</v>
      </c>
      <c r="W154" t="str">
        <f t="shared" si="36"/>
        <v>jo5c01490_si_003.zip</v>
      </c>
      <c r="X154" t="str">
        <f t="shared" si="37"/>
        <v>https://acs.figshare.com/articles/dataset/Synthesis_of_2_Trifluoromethylindolines_via_Rh_III_-Catalyzed_Chelation-Assisted_C_H_Bond_Activation_and_Annulation_of_Anilines_with_CF_sub_3_sub_Imidoyl_Sulfoxonium_Ylides/29977823\thttps://acs.figshare.com/articles/dataset/Synthesis_of_2_Trifluoromethylindolines_via_Rh_III_-Catalyzed_Chelation-Assisted_C_H_Bond_Activation_and_Annulation_of_Anilines_with_CF_sub_3_sub_Imidoyl_Sulfoxonium_Ylides/29977826</v>
      </c>
      <c r="Y154" s="1" t="str">
        <f t="shared" si="41"/>
        <v/>
      </c>
      <c r="Z154" t="str">
        <f t="shared" si="38"/>
        <v>&lt;br&gt;&lt;a href="https://doi.org/10.1021/acs.joc.5c01490.s003"&gt;https://doi.org/10.1021/acs.joc.5c01490.s003&lt;/a&gt;</v>
      </c>
      <c r="AA154" t="str">
        <f t="shared" si="39"/>
        <v/>
      </c>
    </row>
    <row r="155" spans="1:27" x14ac:dyDescent="0.35">
      <c r="A155">
        <v>154</v>
      </c>
      <c r="B155" s="5" t="str">
        <f t="shared" si="28"/>
        <v>jo5c01490</v>
      </c>
      <c r="C155" s="1" t="str">
        <f t="shared" si="29"/>
        <v>jo5c01490</v>
      </c>
      <c r="D155">
        <f>IF(F155=1,"",IF(AND(D154="",S154=S155),"",S155-SUM(F$2:F154)))</f>
        <v>87</v>
      </c>
      <c r="E155" t="str">
        <f t="shared" si="30"/>
        <v>1</v>
      </c>
      <c r="F155">
        <v>0</v>
      </c>
      <c r="H155">
        <v>32</v>
      </c>
      <c r="I155">
        <v>94</v>
      </c>
      <c r="M155" t="str">
        <f t="shared" si="31"/>
        <v>/*87 jo5c01490 */"https://doi.org/10.1021/acs.joc.5c01490.s004",//Synthesis of 2‑Trifluoromethylindolines via Rh(III)-Catalyzed Chelation-Assisted C–H Bond Activation and Annulation of Anilines with CF3‑Imidoyl Sulfoxonium Ylides</v>
      </c>
      <c r="N155" t="e">
        <f t="shared" si="32"/>
        <v>#N/A</v>
      </c>
      <c r="O155" t="b">
        <f t="shared" si="33"/>
        <v>0</v>
      </c>
      <c r="P155" s="13" t="s">
        <v>350</v>
      </c>
      <c r="Q155" s="13" t="s">
        <v>351</v>
      </c>
      <c r="R155" t="str">
        <f t="shared" si="34"/>
        <v>004</v>
      </c>
      <c r="S155">
        <f t="shared" si="40"/>
        <v>114</v>
      </c>
      <c r="T155" s="13" t="str">
        <f>VLOOKUP(Q155,original!B:C,2,FALSE)</f>
        <v>Synthesis of 2‑Trifluoromethylindolines via Rh(III)-Catalyzed Chelation-Assisted C–H Bond Activation and Annulation of Anilines with CF3‑Imidoyl Sulfoxonium Ylides</v>
      </c>
      <c r="U155" s="13" t="s">
        <v>352</v>
      </c>
      <c r="V155" t="str">
        <f t="shared" si="35"/>
        <v>jo5c01490</v>
      </c>
      <c r="W155" t="str">
        <f t="shared" si="36"/>
        <v>jo5c01490_si_004.zip</v>
      </c>
      <c r="X155" t="str">
        <f t="shared" si="37"/>
        <v>https://acs.figshare.com/articles/dataset/Synthesis_of_2_Trifluoromethylindolines_via_Rh_III_-Catalyzed_Chelation-Assisted_C_H_Bond_Activation_and_Annulation_of_Anilines_with_CF_sub_3_sub_Imidoyl_Sulfoxonium_Ylides/29977823\thttps://acs.figshare.com/articles/dataset/Synthesis_of_2_Trifluoromethylindolines_via_Rh_III_-Catalyzed_Chelation-Assisted_C_H_Bond_Activation_and_Annulation_of_Anilines_with_CF_sub_3_sub_Imidoyl_Sulfoxonium_Ylides/29977826\thttps://acs.figshare.com/articles/dataset/Synthesis_of_2_Trifluoromethylindolines_via_Rh_III_-Catalyzed_Chelation-Assisted_C_H_Bond_Activation_and_Annulation_of_Anilines_with_CF_sub_3_sub_Imidoyl_Sulfoxonium_Ylides/29977829</v>
      </c>
      <c r="Y155" s="1" t="str">
        <f t="shared" si="41"/>
        <v>--localSource c:/temp/acs2/data --targetDir c:/temp/acs2/$DOI$ --noDownload --readOnly  --pubDOI https://doi.org/10.1021/acs.joc.5c01490 --dataDOI "10.1021/acs.joc.5c01490https://acs.figshare.com/articles/dataset/Synthesis_of_2_Trifluoromethylindolines_via_Rh_III_-Catalyzed_Chelation-Assisted_C_H_Bond_Activation_and_Annulation_of_Anilines_with_CF_sub_3_sub_Imidoyl_Sulfoxonium_Ylides/29977823\thttps://acs.figshare.com/articles/dataset/Synthesis_of_2_Trifluoromethylindolines_via_Rh_III_-Catalyzed_Chelation-Assisted_C_H_Bond_Activation_and_Annulation_of_Anilines_with_CF_sub_3_sub_Imidoyl_Sulfoxonium_Ylides/29977826\thttps://acs.figshare.com/articles/dataset/Synthesis_of_2_Trifluoromethylindolines_via_Rh_III_-Catalyzed_Chelation-Assisted_C_H_Bond_Activation_and_Annulation_of_Anilines_with_CF_sub_3_sub_Imidoyl_Sulfoxonium_Ylides/29977829"</v>
      </c>
      <c r="Z155" t="str">
        <f t="shared" si="38"/>
        <v>&lt;br&gt;&lt;a href="https://doi.org/10.1021/acs.joc.5c01490.s004"&gt;https://doi.org/10.1021/acs.joc.5c01490.s004&lt;/a&gt;</v>
      </c>
      <c r="AA155" t="str">
        <f t="shared" si="39"/>
        <v/>
      </c>
    </row>
    <row r="156" spans="1:27" x14ac:dyDescent="0.35">
      <c r="A156">
        <v>155</v>
      </c>
      <c r="B156" s="5" t="str">
        <f t="shared" si="28"/>
        <v>jo5c01501</v>
      </c>
      <c r="C156" s="1" t="str">
        <f t="shared" si="29"/>
        <v>jo5c01501</v>
      </c>
      <c r="D156">
        <f>IF(F156=1,"",IF(AND(D155="",S155=S156),"",S156-SUM(F$2:F155)))</f>
        <v>88</v>
      </c>
      <c r="E156" t="str">
        <f t="shared" si="30"/>
        <v>0</v>
      </c>
      <c r="F156">
        <v>0</v>
      </c>
      <c r="H156">
        <v>77</v>
      </c>
      <c r="I156">
        <v>77</v>
      </c>
      <c r="M156" t="str">
        <f t="shared" si="31"/>
        <v>/*88 jo5c01501 */"https://doi.org/10.1021/acs.joc.5c01501.s002",//Electrochemical Oxidative Ring Opening of 1‑Acetylindoline-3-one to Access α‑Ketoamides</v>
      </c>
      <c r="N156" t="e">
        <f t="shared" si="32"/>
        <v>#N/A</v>
      </c>
      <c r="O156" t="b">
        <f t="shared" si="33"/>
        <v>0</v>
      </c>
      <c r="P156" s="13" t="s">
        <v>311</v>
      </c>
      <c r="Q156" s="13" t="s">
        <v>312</v>
      </c>
      <c r="R156" t="str">
        <f t="shared" si="34"/>
        <v>002</v>
      </c>
      <c r="S156">
        <f t="shared" si="40"/>
        <v>115</v>
      </c>
      <c r="T156" s="13" t="str">
        <f>VLOOKUP(Q156,original!B:C,2,FALSE)</f>
        <v>Electrochemical Oxidative Ring Opening of 1‑Acetylindoline-3-one to Access α‑Ketoamides</v>
      </c>
      <c r="U156" s="13" t="s">
        <v>313</v>
      </c>
      <c r="V156" t="str">
        <f t="shared" si="35"/>
        <v>jo5c01501</v>
      </c>
      <c r="W156" t="str">
        <f t="shared" si="36"/>
        <v>jo5c01501_si_002.zip</v>
      </c>
      <c r="X156" t="str">
        <f t="shared" si="37"/>
        <v>https://acs.figshare.com/articles/dataset/Electrochemical_Oxidative_Ring_Opening_of_1_Acetylindoline-3-one_to_Access_Ketoamides/30075838</v>
      </c>
      <c r="Y156" s="1" t="str">
        <f t="shared" si="41"/>
        <v>--localSource c:/temp/acs2/data --targetDir c:/temp/acs2/$DOI$ --noDownload --readOnly  --pubDOI https://doi.org/10.1021/acs.joc.5c01501 --dataDOI "10.1021/acs.joc.5c01501https://acs.figshare.com/articles/dataset/Electrochemical_Oxidative_Ring_Opening_of_1_Acetylindoline-3-one_to_Access_Ketoamides/30075838"</v>
      </c>
      <c r="Z156" t="str">
        <f t="shared" si="38"/>
        <v>&lt;br&gt;&lt;a href="https://doi.org/10.1021/acs.joc.5c01501.s002"&gt;https://doi.org/10.1021/acs.joc.5c01501.s002&lt;/a&gt;</v>
      </c>
      <c r="AA156" t="str">
        <f t="shared" si="39"/>
        <v/>
      </c>
    </row>
    <row r="157" spans="1:27" x14ac:dyDescent="0.35">
      <c r="A157">
        <v>156</v>
      </c>
      <c r="B157" s="5" t="str">
        <f t="shared" si="28"/>
        <v>jo5c01538</v>
      </c>
      <c r="C157" s="1" t="str">
        <f t="shared" si="29"/>
        <v>jo5c01538 # Java issue</v>
      </c>
      <c r="D157">
        <f>IF(F157=1,"",IF(AND(D156="",S156=S157),"",S157-SUM(F$2:F156)))</f>
        <v>89</v>
      </c>
      <c r="E157" t="str">
        <f t="shared" si="30"/>
        <v>0</v>
      </c>
      <c r="F157">
        <v>0</v>
      </c>
      <c r="G157" t="s">
        <v>2261</v>
      </c>
      <c r="H157">
        <v>0</v>
      </c>
      <c r="I157">
        <v>0</v>
      </c>
      <c r="M157" t="str">
        <f t="shared" si="31"/>
        <v>/*89 jo5c01538 */"https://doi.org/10.1021/acs.joc.5c01538.s002",//Concise, Atom-Economical, and Enantiodivergent Total Synthesis of β‑Lycorane via Organocatalyzed [4+2] Cycloaddition Reaction</v>
      </c>
      <c r="N157" t="e">
        <f t="shared" si="32"/>
        <v>#N/A</v>
      </c>
      <c r="O157" t="b">
        <f t="shared" si="33"/>
        <v>0</v>
      </c>
      <c r="P157" s="13" t="s">
        <v>390</v>
      </c>
      <c r="Q157" s="13" t="s">
        <v>391</v>
      </c>
      <c r="R157" t="str">
        <f t="shared" si="34"/>
        <v>002</v>
      </c>
      <c r="S157">
        <f t="shared" si="40"/>
        <v>116</v>
      </c>
      <c r="T157" s="13" t="str">
        <f>VLOOKUP(Q157,original!B:C,2,FALSE)</f>
        <v>Concise, Atom-Economical, and Enantiodivergent Total Synthesis of β‑Lycorane via Organocatalyzed [4+2] Cycloaddition Reaction</v>
      </c>
      <c r="U157" s="13" t="s">
        <v>392</v>
      </c>
      <c r="V157" t="str">
        <f t="shared" si="35"/>
        <v>jo5c01538</v>
      </c>
      <c r="W157" t="str">
        <f t="shared" si="36"/>
        <v>jo5c01538_si_002.zip</v>
      </c>
      <c r="X157" t="str">
        <f t="shared" si="37"/>
        <v>https://acs.figshare.com/articles/dataset/Concise_Atom-Economical_and_Enantiodivergent_Total_Synthesis_of_Lycorane_via_Organocatalyzed_4_2_Cycloaddition_Reaction/29891752</v>
      </c>
      <c r="Y157" s="1" t="str">
        <f t="shared" si="41"/>
        <v>--localSource c:/temp/acs2/data --targetDir c:/temp/acs2/$DOI$ --noDownload --readOnly  --pubDOI https://doi.org/10.1021/acs.joc.5c01538 --dataDOI "10.1021/acs.joc.5c01538https://acs.figshare.com/articles/dataset/Concise_Atom-Economical_and_Enantiodivergent_Total_Synthesis_of_Lycorane_via_Organocatalyzed_4_2_Cycloaddition_Reaction/29891752"</v>
      </c>
      <c r="Z157" t="str">
        <f t="shared" si="38"/>
        <v>&lt;br&gt;&lt;a href="https://doi.org/10.1021/acs.joc.5c01538.s002"&gt;https://doi.org/10.1021/acs.joc.5c01538.s002&lt;/a&gt;</v>
      </c>
      <c r="AA157" t="str">
        <f t="shared" si="39"/>
        <v/>
      </c>
    </row>
    <row r="158" spans="1:27" x14ac:dyDescent="0.35">
      <c r="A158">
        <v>157</v>
      </c>
      <c r="B158" s="5" t="str">
        <f t="shared" si="28"/>
        <v>jo5c01545</v>
      </c>
      <c r="C158" s="1" t="str">
        <f t="shared" si="29"/>
        <v>jo5c01545</v>
      </c>
      <c r="D158">
        <f>IF(F158=1,"",IF(AND(D157="",S157=S158),"",S158-SUM(F$2:F157)))</f>
        <v>90</v>
      </c>
      <c r="E158" t="str">
        <f t="shared" si="30"/>
        <v>0</v>
      </c>
      <c r="F158">
        <v>0</v>
      </c>
      <c r="H158">
        <v>8</v>
      </c>
      <c r="I158">
        <v>16</v>
      </c>
      <c r="M158" t="str">
        <f t="shared" si="31"/>
        <v>/*90 jo5c01545 */"https://doi.org/10.1021/acs.joc.5c01545.s002",//Dual-State Mechano- and Electrochromic Responses Enabled by Sterically Strained Diazaanthraquinodimethanes</v>
      </c>
      <c r="N158" t="e">
        <f t="shared" si="32"/>
        <v>#N/A</v>
      </c>
      <c r="O158" t="b">
        <f t="shared" si="33"/>
        <v>0</v>
      </c>
      <c r="P158" s="13" t="s">
        <v>321</v>
      </c>
      <c r="Q158" s="13" t="s">
        <v>322</v>
      </c>
      <c r="R158" t="str">
        <f t="shared" si="34"/>
        <v>002</v>
      </c>
      <c r="S158">
        <f t="shared" si="40"/>
        <v>117</v>
      </c>
      <c r="T158" s="13" t="str">
        <f>VLOOKUP(Q158,original!B:C,2,FALSE)</f>
        <v>Dual-State Mechano- and Electrochromic Responses Enabled by Sterically Strained Diazaanthraquinodimethanes</v>
      </c>
      <c r="U158" s="13" t="s">
        <v>324</v>
      </c>
      <c r="V158" t="str">
        <f t="shared" si="35"/>
        <v>jo5c01545</v>
      </c>
      <c r="W158" t="str">
        <f t="shared" si="36"/>
        <v>jo5c01545_si_002.zip</v>
      </c>
      <c r="X158" t="str">
        <f t="shared" si="37"/>
        <v>https://acs.figshare.com/articles/dataset/Dual-State_Mechano-_and_Electrochromic_Responses_Enabled_by_Sterically_Strained_Diazaanthraquinodimethanes/30027242</v>
      </c>
      <c r="Y158" s="1" t="str">
        <f t="shared" si="41"/>
        <v>--localSource c:/temp/acs2/data --targetDir c:/temp/acs2/$DOI$ --noDownload --readOnly  --pubDOI https://doi.org/10.1021/acs.joc.5c01545 --dataDOI "10.1021/acs.joc.5c01545https://acs.figshare.com/articles/dataset/Dual-State_Mechano-_and_Electrochromic_Responses_Enabled_by_Sterically_Strained_Diazaanthraquinodimethanes/30027242"</v>
      </c>
      <c r="Z158" t="str">
        <f t="shared" si="38"/>
        <v>&lt;br&gt;&lt;a href="https://doi.org/10.1021/acs.joc.5c01545.s002"&gt;https://doi.org/10.1021/acs.joc.5c01545.s002&lt;/a&gt;</v>
      </c>
      <c r="AA158" t="str">
        <f t="shared" si="39"/>
        <v/>
      </c>
    </row>
    <row r="159" spans="1:27" x14ac:dyDescent="0.35">
      <c r="A159">
        <v>158</v>
      </c>
      <c r="B159" s="5" t="str">
        <f t="shared" si="28"/>
        <v>jo5c01560</v>
      </c>
      <c r="C159" s="1" t="str">
        <f t="shared" si="29"/>
        <v/>
      </c>
      <c r="D159">
        <f>IF(F159=1,"",IF(AND(D158="",S158=S159),"",S159-SUM(F$2:F158)))</f>
        <v>91</v>
      </c>
      <c r="E159" t="str">
        <f t="shared" si="30"/>
        <v>0</v>
      </c>
      <c r="F159">
        <v>0</v>
      </c>
      <c r="M159" t="str">
        <f t="shared" si="31"/>
        <v/>
      </c>
      <c r="N159" t="str">
        <f t="shared" si="32"/>
        <v>jo5c01560_si_002.xyz</v>
      </c>
      <c r="O159" t="b">
        <f t="shared" si="33"/>
        <v>1</v>
      </c>
      <c r="P159" s="13" t="s">
        <v>213</v>
      </c>
      <c r="Q159" s="13" t="s">
        <v>214</v>
      </c>
      <c r="R159" t="str">
        <f t="shared" si="34"/>
        <v>002</v>
      </c>
      <c r="S159">
        <f t="shared" si="40"/>
        <v>118</v>
      </c>
      <c r="T159" s="13" t="str">
        <f>VLOOKUP(Q159,original!B:C,2,FALSE)</f>
        <v>Designing Macrocycles to Adopt Persistent, Isoenergetic Conformations</v>
      </c>
      <c r="U159" s="13" t="s">
        <v>192</v>
      </c>
      <c r="V159" t="str">
        <f t="shared" si="35"/>
        <v>jo5c01560</v>
      </c>
      <c r="W159" t="str">
        <f t="shared" si="36"/>
        <v>jo5c01560_si_002.zip</v>
      </c>
      <c r="X159" t="str">
        <f t="shared" si="37"/>
        <v>https://acs.figshare.com/articles/dataset/Designing_Macrocycles_to_Adopt_Persistent_Isoenergetic_Conformations/30406996</v>
      </c>
      <c r="Y159" s="1" t="str">
        <f t="shared" si="41"/>
        <v/>
      </c>
      <c r="Z159" t="str">
        <f t="shared" si="38"/>
        <v>&lt;br&gt;&lt;a href="https://doi.org/10.1021/acs.joc.5c01560.s002"&gt;https://doi.org/10.1021/acs.joc.5c01560.s002&lt;/a&gt;</v>
      </c>
      <c r="AA159" t="str">
        <f t="shared" si="39"/>
        <v/>
      </c>
    </row>
    <row r="160" spans="1:27" x14ac:dyDescent="0.35">
      <c r="A160">
        <v>159</v>
      </c>
      <c r="B160" s="5" t="str">
        <f t="shared" si="28"/>
        <v>jo5c01560</v>
      </c>
      <c r="C160" s="1" t="str">
        <f t="shared" si="29"/>
        <v/>
      </c>
      <c r="D160">
        <f>IF(F160=1,"",IF(AND(D159="",S159=S160),"",S160-SUM(F$2:F159)))</f>
        <v>91</v>
      </c>
      <c r="E160" t="str">
        <f t="shared" si="30"/>
        <v>1</v>
      </c>
      <c r="F160">
        <v>0</v>
      </c>
      <c r="M160" t="str">
        <f t="shared" si="31"/>
        <v/>
      </c>
      <c r="N160" t="str">
        <f t="shared" si="32"/>
        <v>jo5c01560_si_003.xyz</v>
      </c>
      <c r="O160" t="b">
        <f t="shared" si="33"/>
        <v>1</v>
      </c>
      <c r="P160" s="13" t="s">
        <v>211</v>
      </c>
      <c r="Q160" s="13" t="s">
        <v>212</v>
      </c>
      <c r="R160" t="str">
        <f t="shared" si="34"/>
        <v>003</v>
      </c>
      <c r="S160">
        <f t="shared" si="40"/>
        <v>118</v>
      </c>
      <c r="T160" s="13" t="str">
        <f>VLOOKUP(Q160,original!B:C,2,FALSE)</f>
        <v>Designing Macrocycles to Adopt Persistent, Isoenergetic Conformations</v>
      </c>
      <c r="U160" s="13" t="s">
        <v>192</v>
      </c>
      <c r="V160" t="str">
        <f t="shared" si="35"/>
        <v>jo5c01560</v>
      </c>
      <c r="W160" t="str">
        <f t="shared" si="36"/>
        <v>jo5c01560_si_003.zip</v>
      </c>
      <c r="X160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</v>
      </c>
      <c r="Y160" s="1" t="str">
        <f t="shared" si="41"/>
        <v/>
      </c>
      <c r="Z160" t="str">
        <f t="shared" si="38"/>
        <v>&lt;br&gt;&lt;a href="https://doi.org/10.1021/acs.joc.5c01560.s003"&gt;https://doi.org/10.1021/acs.joc.5c01560.s003&lt;/a&gt;</v>
      </c>
      <c r="AA160" t="str">
        <f t="shared" si="39"/>
        <v/>
      </c>
    </row>
    <row r="161" spans="1:27" x14ac:dyDescent="0.35">
      <c r="A161">
        <v>160</v>
      </c>
      <c r="B161" s="5" t="str">
        <f t="shared" si="28"/>
        <v>jo5c01560</v>
      </c>
      <c r="C161" s="1" t="str">
        <f t="shared" si="29"/>
        <v/>
      </c>
      <c r="D161">
        <f>IF(F161=1,"",IF(AND(D160="",S160=S161),"",S161-SUM(F$2:F160)))</f>
        <v>91</v>
      </c>
      <c r="E161" t="str">
        <f t="shared" si="30"/>
        <v>1</v>
      </c>
      <c r="F161">
        <v>0</v>
      </c>
      <c r="M161" t="str">
        <f t="shared" si="31"/>
        <v/>
      </c>
      <c r="N161" t="str">
        <f t="shared" si="32"/>
        <v>jo5c01560_si_004.xyz</v>
      </c>
      <c r="O161" t="b">
        <f t="shared" si="33"/>
        <v>1</v>
      </c>
      <c r="P161" s="13" t="s">
        <v>209</v>
      </c>
      <c r="Q161" s="13" t="s">
        <v>210</v>
      </c>
      <c r="R161" t="str">
        <f t="shared" si="34"/>
        <v>004</v>
      </c>
      <c r="S161">
        <f t="shared" si="40"/>
        <v>118</v>
      </c>
      <c r="T161" s="13" t="str">
        <f>VLOOKUP(Q161,original!B:C,2,FALSE)</f>
        <v>Designing Macrocycles to Adopt Persistent, Isoenergetic Conformations</v>
      </c>
      <c r="U161" s="13" t="s">
        <v>192</v>
      </c>
      <c r="V161" t="str">
        <f t="shared" si="35"/>
        <v>jo5c01560</v>
      </c>
      <c r="W161" t="str">
        <f t="shared" si="36"/>
        <v>jo5c01560_si_004.zip</v>
      </c>
      <c r="X161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</v>
      </c>
      <c r="Y161" s="1" t="str">
        <f t="shared" si="41"/>
        <v/>
      </c>
      <c r="Z161" t="str">
        <f t="shared" si="38"/>
        <v>&lt;br&gt;&lt;a href="https://doi.org/10.1021/acs.joc.5c01560.s004"&gt;https://doi.org/10.1021/acs.joc.5c01560.s004&lt;/a&gt;</v>
      </c>
      <c r="AA161" t="str">
        <f t="shared" si="39"/>
        <v/>
      </c>
    </row>
    <row r="162" spans="1:27" x14ac:dyDescent="0.35">
      <c r="A162">
        <v>161</v>
      </c>
      <c r="B162" s="5" t="str">
        <f t="shared" si="28"/>
        <v>jo5c01560</v>
      </c>
      <c r="C162" s="1" t="str">
        <f t="shared" si="29"/>
        <v/>
      </c>
      <c r="D162">
        <f>IF(F162=1,"",IF(AND(D161="",S161=S162),"",S162-SUM(F$2:F161)))</f>
        <v>91</v>
      </c>
      <c r="E162" t="str">
        <f t="shared" si="30"/>
        <v>1</v>
      </c>
      <c r="F162">
        <v>0</v>
      </c>
      <c r="M162" t="str">
        <f t="shared" si="31"/>
        <v/>
      </c>
      <c r="N162" t="str">
        <f t="shared" si="32"/>
        <v>jo5c01560_si_005.xyz</v>
      </c>
      <c r="O162" t="b">
        <f t="shared" si="33"/>
        <v>1</v>
      </c>
      <c r="P162" s="13" t="s">
        <v>207</v>
      </c>
      <c r="Q162" s="13" t="s">
        <v>208</v>
      </c>
      <c r="R162" t="str">
        <f t="shared" si="34"/>
        <v>005</v>
      </c>
      <c r="S162">
        <f t="shared" si="40"/>
        <v>118</v>
      </c>
      <c r="T162" s="13" t="str">
        <f>VLOOKUP(Q162,original!B:C,2,FALSE)</f>
        <v>Designing Macrocycles to Adopt Persistent, Isoenergetic Conformations</v>
      </c>
      <c r="U162" s="13" t="s">
        <v>192</v>
      </c>
      <c r="V162" t="str">
        <f t="shared" si="35"/>
        <v>jo5c01560</v>
      </c>
      <c r="W162" t="str">
        <f t="shared" si="36"/>
        <v>jo5c01560_si_005.zip</v>
      </c>
      <c r="X162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</v>
      </c>
      <c r="Y162" s="1" t="str">
        <f t="shared" si="41"/>
        <v/>
      </c>
      <c r="Z162" t="str">
        <f t="shared" si="38"/>
        <v>&lt;br&gt;&lt;a href="https://doi.org/10.1021/acs.joc.5c01560.s005"&gt;https://doi.org/10.1021/acs.joc.5c01560.s005&lt;/a&gt;</v>
      </c>
      <c r="AA162" t="str">
        <f t="shared" si="39"/>
        <v/>
      </c>
    </row>
    <row r="163" spans="1:27" x14ac:dyDescent="0.35">
      <c r="A163">
        <v>162</v>
      </c>
      <c r="B163" s="5" t="str">
        <f t="shared" si="28"/>
        <v>jo5c01560</v>
      </c>
      <c r="C163" s="1" t="str">
        <f t="shared" si="29"/>
        <v/>
      </c>
      <c r="D163">
        <f>IF(F163=1,"",IF(AND(D162="",S162=S163),"",S163-SUM(F$2:F162)))</f>
        <v>91</v>
      </c>
      <c r="E163" t="str">
        <f t="shared" si="30"/>
        <v>1</v>
      </c>
      <c r="F163">
        <v>0</v>
      </c>
      <c r="M163" t="str">
        <f t="shared" si="31"/>
        <v/>
      </c>
      <c r="N163" t="str">
        <f t="shared" si="32"/>
        <v>jo5c01560_si_006.xyz</v>
      </c>
      <c r="O163" t="b">
        <f t="shared" si="33"/>
        <v>1</v>
      </c>
      <c r="P163" s="13" t="s">
        <v>205</v>
      </c>
      <c r="Q163" s="13" t="s">
        <v>206</v>
      </c>
      <c r="R163" t="str">
        <f t="shared" si="34"/>
        <v>006</v>
      </c>
      <c r="S163">
        <f t="shared" si="40"/>
        <v>118</v>
      </c>
      <c r="T163" s="13" t="str">
        <f>VLOOKUP(Q163,original!B:C,2,FALSE)</f>
        <v>Designing Macrocycles to Adopt Persistent, Isoenergetic Conformations</v>
      </c>
      <c r="U163" s="13" t="s">
        <v>192</v>
      </c>
      <c r="V163" t="str">
        <f t="shared" si="35"/>
        <v>jo5c01560</v>
      </c>
      <c r="W163" t="str">
        <f t="shared" si="36"/>
        <v>jo5c01560_si_006.zip</v>
      </c>
      <c r="X163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</v>
      </c>
      <c r="Y163" s="1" t="str">
        <f t="shared" si="41"/>
        <v/>
      </c>
      <c r="Z163" t="str">
        <f t="shared" si="38"/>
        <v>&lt;br&gt;&lt;a href="https://doi.org/10.1021/acs.joc.5c01560.s006"&gt;https://doi.org/10.1021/acs.joc.5c01560.s006&lt;/a&gt;</v>
      </c>
      <c r="AA163" t="str">
        <f t="shared" si="39"/>
        <v/>
      </c>
    </row>
    <row r="164" spans="1:27" x14ac:dyDescent="0.35">
      <c r="A164">
        <v>163</v>
      </c>
      <c r="B164" s="5" t="str">
        <f t="shared" si="28"/>
        <v>jo5c01560</v>
      </c>
      <c r="C164" s="1" t="str">
        <f t="shared" si="29"/>
        <v/>
      </c>
      <c r="D164">
        <f>IF(F164=1,"",IF(AND(D163="",S163=S164),"",S164-SUM(F$2:F163)))</f>
        <v>91</v>
      </c>
      <c r="E164" t="str">
        <f t="shared" si="30"/>
        <v>1</v>
      </c>
      <c r="F164">
        <v>0</v>
      </c>
      <c r="M164" t="str">
        <f t="shared" si="31"/>
        <v/>
      </c>
      <c r="N164" t="str">
        <f t="shared" si="32"/>
        <v>jo5c01560_si_007.xyz</v>
      </c>
      <c r="O164" t="b">
        <f t="shared" si="33"/>
        <v>1</v>
      </c>
      <c r="P164" s="13" t="s">
        <v>203</v>
      </c>
      <c r="Q164" s="13" t="s">
        <v>204</v>
      </c>
      <c r="R164" t="str">
        <f t="shared" si="34"/>
        <v>007</v>
      </c>
      <c r="S164">
        <f t="shared" si="40"/>
        <v>118</v>
      </c>
      <c r="T164" s="13" t="str">
        <f>VLOOKUP(Q164,original!B:C,2,FALSE)</f>
        <v>Designing Macrocycles to Adopt Persistent, Isoenergetic Conformations</v>
      </c>
      <c r="U164" s="13" t="s">
        <v>192</v>
      </c>
      <c r="V164" t="str">
        <f t="shared" si="35"/>
        <v>jo5c01560</v>
      </c>
      <c r="W164" t="str">
        <f t="shared" si="36"/>
        <v>jo5c01560_si_007.zip</v>
      </c>
      <c r="X164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</v>
      </c>
      <c r="Y164" s="1" t="str">
        <f t="shared" si="41"/>
        <v/>
      </c>
      <c r="Z164" t="str">
        <f t="shared" si="38"/>
        <v>&lt;br&gt;&lt;a href="https://doi.org/10.1021/acs.joc.5c01560.s007"&gt;https://doi.org/10.1021/acs.joc.5c01560.s007&lt;/a&gt;</v>
      </c>
      <c r="AA164" t="str">
        <f t="shared" si="39"/>
        <v/>
      </c>
    </row>
    <row r="165" spans="1:27" x14ac:dyDescent="0.35">
      <c r="A165">
        <v>164</v>
      </c>
      <c r="B165" s="5" t="str">
        <f t="shared" si="28"/>
        <v>jo5c01560</v>
      </c>
      <c r="C165" s="1" t="str">
        <f t="shared" si="29"/>
        <v/>
      </c>
      <c r="D165">
        <f>IF(F165=1,"",IF(AND(D164="",S164=S165),"",S165-SUM(F$2:F164)))</f>
        <v>91</v>
      </c>
      <c r="E165" t="str">
        <f t="shared" si="30"/>
        <v>1</v>
      </c>
      <c r="F165">
        <v>0</v>
      </c>
      <c r="M165" t="str">
        <f t="shared" si="31"/>
        <v/>
      </c>
      <c r="N165" t="str">
        <f t="shared" si="32"/>
        <v>jo5c01560_si_008.xyz</v>
      </c>
      <c r="O165" t="b">
        <f t="shared" si="33"/>
        <v>1</v>
      </c>
      <c r="P165" s="13" t="s">
        <v>201</v>
      </c>
      <c r="Q165" s="13" t="s">
        <v>202</v>
      </c>
      <c r="R165" t="str">
        <f t="shared" si="34"/>
        <v>008</v>
      </c>
      <c r="S165">
        <f t="shared" si="40"/>
        <v>118</v>
      </c>
      <c r="T165" s="13" t="str">
        <f>VLOOKUP(Q165,original!B:C,2,FALSE)</f>
        <v>Designing Macrocycles to Adopt Persistent, Isoenergetic Conformations</v>
      </c>
      <c r="U165" s="13" t="s">
        <v>192</v>
      </c>
      <c r="V165" t="str">
        <f t="shared" si="35"/>
        <v>jo5c01560</v>
      </c>
      <c r="W165" t="str">
        <f t="shared" si="36"/>
        <v>jo5c01560_si_008.zip</v>
      </c>
      <c r="X165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</v>
      </c>
      <c r="Y165" s="1" t="str">
        <f t="shared" si="41"/>
        <v/>
      </c>
      <c r="Z165" t="str">
        <f t="shared" si="38"/>
        <v>&lt;br&gt;&lt;a href="https://doi.org/10.1021/acs.joc.5c01560.s008"&gt;https://doi.org/10.1021/acs.joc.5c01560.s008&lt;/a&gt;</v>
      </c>
      <c r="AA165" t="str">
        <f t="shared" si="39"/>
        <v/>
      </c>
    </row>
    <row r="166" spans="1:27" x14ac:dyDescent="0.35">
      <c r="A166">
        <v>165</v>
      </c>
      <c r="B166" s="5" t="str">
        <f t="shared" si="28"/>
        <v>jo5c01560</v>
      </c>
      <c r="C166" s="1" t="str">
        <f t="shared" si="29"/>
        <v/>
      </c>
      <c r="D166">
        <f>IF(F166=1,"",IF(AND(D165="",S165=S166),"",S166-SUM(F$2:F165)))</f>
        <v>91</v>
      </c>
      <c r="E166" t="str">
        <f t="shared" si="30"/>
        <v>1</v>
      </c>
      <c r="F166">
        <v>0</v>
      </c>
      <c r="M166" t="str">
        <f t="shared" si="31"/>
        <v/>
      </c>
      <c r="N166" t="str">
        <f t="shared" si="32"/>
        <v>jo5c01560_si_009.xyz</v>
      </c>
      <c r="O166" t="b">
        <f t="shared" si="33"/>
        <v>1</v>
      </c>
      <c r="P166" s="13" t="s">
        <v>199</v>
      </c>
      <c r="Q166" s="13" t="s">
        <v>200</v>
      </c>
      <c r="R166" t="str">
        <f t="shared" si="34"/>
        <v>009</v>
      </c>
      <c r="S166">
        <f t="shared" si="40"/>
        <v>118</v>
      </c>
      <c r="T166" s="13" t="str">
        <f>VLOOKUP(Q166,original!B:C,2,FALSE)</f>
        <v>Designing Macrocycles to Adopt Persistent, Isoenergetic Conformations</v>
      </c>
      <c r="U166" s="13" t="s">
        <v>192</v>
      </c>
      <c r="V166" t="str">
        <f t="shared" si="35"/>
        <v>jo5c01560</v>
      </c>
      <c r="W166" t="str">
        <f t="shared" si="36"/>
        <v>jo5c01560_si_009.zip</v>
      </c>
      <c r="X166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\thttps://acs.figshare.com/articles/dataset/Designing_Macrocycles_to_Adopt_Persistent_Isoenergetic_Conformations/30407017</v>
      </c>
      <c r="Y166" s="1" t="str">
        <f t="shared" si="41"/>
        <v/>
      </c>
      <c r="Z166" t="str">
        <f t="shared" si="38"/>
        <v>&lt;br&gt;&lt;a href="https://doi.org/10.1021/acs.joc.5c01560.s009"&gt;https://doi.org/10.1021/acs.joc.5c01560.s009&lt;/a&gt;</v>
      </c>
      <c r="AA166" t="str">
        <f t="shared" si="39"/>
        <v/>
      </c>
    </row>
    <row r="167" spans="1:27" x14ac:dyDescent="0.35">
      <c r="A167">
        <v>166</v>
      </c>
      <c r="B167" s="5" t="str">
        <f t="shared" si="28"/>
        <v>jo5c01560</v>
      </c>
      <c r="C167" s="1" t="str">
        <f t="shared" si="29"/>
        <v/>
      </c>
      <c r="D167">
        <f>IF(F167=1,"",IF(AND(D166="",S166=S167),"",S167-SUM(F$2:F166)))</f>
        <v>91</v>
      </c>
      <c r="E167" t="str">
        <f t="shared" si="30"/>
        <v>1</v>
      </c>
      <c r="F167">
        <v>0</v>
      </c>
      <c r="M167" t="str">
        <f t="shared" si="31"/>
        <v/>
      </c>
      <c r="N167" t="str">
        <f t="shared" si="32"/>
        <v>jo5c01560_si_010.xyz</v>
      </c>
      <c r="O167" t="b">
        <f t="shared" si="33"/>
        <v>1</v>
      </c>
      <c r="P167" s="13" t="s">
        <v>197</v>
      </c>
      <c r="Q167" s="13" t="s">
        <v>198</v>
      </c>
      <c r="R167" t="str">
        <f t="shared" si="34"/>
        <v>010</v>
      </c>
      <c r="S167">
        <f t="shared" si="40"/>
        <v>118</v>
      </c>
      <c r="T167" s="13" t="str">
        <f>VLOOKUP(Q167,original!B:C,2,FALSE)</f>
        <v>Designing Macrocycles to Adopt Persistent, Isoenergetic Conformations</v>
      </c>
      <c r="U167" s="13" t="s">
        <v>192</v>
      </c>
      <c r="V167" t="str">
        <f t="shared" si="35"/>
        <v>jo5c01560</v>
      </c>
      <c r="W167" t="str">
        <f t="shared" si="36"/>
        <v>jo5c01560_si_010.zip</v>
      </c>
      <c r="X167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\thttps://acs.figshare.com/articles/dataset/Designing_Macrocycles_to_Adopt_Persistent_Isoenergetic_Conformations/30407017\thttps://acs.figshare.com/articles/dataset/Designing_Macrocycles_to_Adopt_Persistent_Isoenergetic_Conformations/30407020</v>
      </c>
      <c r="Y167" s="1" t="str">
        <f t="shared" si="41"/>
        <v/>
      </c>
      <c r="Z167" t="str">
        <f t="shared" si="38"/>
        <v>&lt;br&gt;&lt;a href="https://doi.org/10.1021/acs.joc.5c01560.s010"&gt;https://doi.org/10.1021/acs.joc.5c01560.s010&lt;/a&gt;</v>
      </c>
      <c r="AA167" t="str">
        <f t="shared" si="39"/>
        <v/>
      </c>
    </row>
    <row r="168" spans="1:27" x14ac:dyDescent="0.35">
      <c r="A168">
        <v>167</v>
      </c>
      <c r="B168" s="5" t="str">
        <f t="shared" si="28"/>
        <v>jo5c01560</v>
      </c>
      <c r="C168" s="1" t="str">
        <f t="shared" si="29"/>
        <v/>
      </c>
      <c r="D168">
        <f>IF(F168=1,"",IF(AND(D167="",S167=S168),"",S168-SUM(F$2:F167)))</f>
        <v>91</v>
      </c>
      <c r="E168" t="str">
        <f t="shared" si="30"/>
        <v>1</v>
      </c>
      <c r="F168">
        <v>0</v>
      </c>
      <c r="M168" t="str">
        <f t="shared" si="31"/>
        <v/>
      </c>
      <c r="N168" t="str">
        <f t="shared" si="32"/>
        <v>jo5c01560_si_011.xyz</v>
      </c>
      <c r="O168" t="b">
        <f t="shared" si="33"/>
        <v>1</v>
      </c>
      <c r="P168" s="13" t="s">
        <v>195</v>
      </c>
      <c r="Q168" s="13" t="s">
        <v>196</v>
      </c>
      <c r="R168" t="str">
        <f t="shared" si="34"/>
        <v>011</v>
      </c>
      <c r="S168">
        <f t="shared" si="40"/>
        <v>118</v>
      </c>
      <c r="T168" s="13" t="str">
        <f>VLOOKUP(Q168,original!B:C,2,FALSE)</f>
        <v>Designing Macrocycles to Adopt Persistent, Isoenergetic Conformations</v>
      </c>
      <c r="U168" s="13" t="s">
        <v>192</v>
      </c>
      <c r="V168" t="str">
        <f t="shared" si="35"/>
        <v>jo5c01560</v>
      </c>
      <c r="W168" t="str">
        <f t="shared" si="36"/>
        <v>jo5c01560_si_011.zip</v>
      </c>
      <c r="X168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\thttps://acs.figshare.com/articles/dataset/Designing_Macrocycles_to_Adopt_Persistent_Isoenergetic_Conformations/30407017\thttps://acs.figshare.com/articles/dataset/Designing_Macrocycles_to_Adopt_Persistent_Isoenergetic_Conformations/30407020\thttps://acs.figshare.com/articles/dataset/Designing_Macrocycles_to_Adopt_Persistent_Isoenergetic_Conformations/30407023</v>
      </c>
      <c r="Y168" s="1" t="str">
        <f t="shared" si="41"/>
        <v/>
      </c>
      <c r="Z168" t="str">
        <f t="shared" si="38"/>
        <v>&lt;br&gt;&lt;a href="https://doi.org/10.1021/acs.joc.5c01560.s011"&gt;https://doi.org/10.1021/acs.joc.5c01560.s011&lt;/a&gt;</v>
      </c>
      <c r="AA168" t="str">
        <f t="shared" si="39"/>
        <v/>
      </c>
    </row>
    <row r="169" spans="1:27" x14ac:dyDescent="0.35">
      <c r="A169">
        <v>168</v>
      </c>
      <c r="B169" s="5" t="str">
        <f t="shared" si="28"/>
        <v>jo5c01560</v>
      </c>
      <c r="C169" s="1" t="str">
        <f t="shared" si="29"/>
        <v/>
      </c>
      <c r="D169">
        <f>IF(F169=1,"",IF(AND(D168="",S168=S169),"",S169-SUM(F$2:F168)))</f>
        <v>91</v>
      </c>
      <c r="E169" t="str">
        <f t="shared" si="30"/>
        <v>1</v>
      </c>
      <c r="F169">
        <v>0</v>
      </c>
      <c r="M169" t="str">
        <f t="shared" si="31"/>
        <v/>
      </c>
      <c r="N169" t="str">
        <f t="shared" si="32"/>
        <v>jo5c01560_si_012.xyz</v>
      </c>
      <c r="O169" t="b">
        <f t="shared" si="33"/>
        <v>1</v>
      </c>
      <c r="P169" s="13" t="s">
        <v>193</v>
      </c>
      <c r="Q169" s="13" t="s">
        <v>194</v>
      </c>
      <c r="R169" t="str">
        <f t="shared" si="34"/>
        <v>012</v>
      </c>
      <c r="S169">
        <f t="shared" si="40"/>
        <v>118</v>
      </c>
      <c r="T169" s="13" t="str">
        <f>VLOOKUP(Q169,original!B:C,2,FALSE)</f>
        <v>Designing Macrocycles to Adopt Persistent, Isoenergetic Conformations</v>
      </c>
      <c r="U169" s="13" t="s">
        <v>192</v>
      </c>
      <c r="V169" t="str">
        <f t="shared" si="35"/>
        <v>jo5c01560</v>
      </c>
      <c r="W169" t="str">
        <f t="shared" si="36"/>
        <v>jo5c01560_si_012.zip</v>
      </c>
      <c r="X169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\thttps://acs.figshare.com/articles/dataset/Designing_Macrocycles_to_Adopt_Persistent_Isoenergetic_Conformations/30407017\thttps://acs.figshare.com/articles/dataset/Designing_Macrocycles_to_Adopt_Persistent_Isoenergetic_Conformations/30407020\thttps://acs.figshare.com/articles/dataset/Designing_Macrocycles_to_Adopt_Persistent_Isoenergetic_Conformations/30407023\thttps://acs.figshare.com/articles/dataset/Designing_Macrocycles_to_Adopt_Persistent_Isoenergetic_Conformations/30407026</v>
      </c>
      <c r="Y169" s="1" t="str">
        <f t="shared" si="41"/>
        <v/>
      </c>
      <c r="Z169" t="str">
        <f t="shared" si="38"/>
        <v>&lt;br&gt;&lt;a href="https://doi.org/10.1021/acs.joc.5c01560.s012"&gt;https://doi.org/10.1021/acs.joc.5c01560.s012&lt;/a&gt;</v>
      </c>
      <c r="AA169" t="str">
        <f t="shared" si="39"/>
        <v/>
      </c>
    </row>
    <row r="170" spans="1:27" x14ac:dyDescent="0.35">
      <c r="A170">
        <v>169</v>
      </c>
      <c r="B170" s="5" t="str">
        <f t="shared" si="28"/>
        <v>jo5c01560</v>
      </c>
      <c r="C170" s="1" t="str">
        <f t="shared" si="29"/>
        <v xml:space="preserve">#jo5c01560 </v>
      </c>
      <c r="D170" t="str">
        <f>IF(F170=1,"",IF(AND(D169="",S169=S170),"",S170-SUM(F$2:F169)))</f>
        <v/>
      </c>
      <c r="E170" t="str">
        <f t="shared" si="30"/>
        <v>1</v>
      </c>
      <c r="F170">
        <v>1</v>
      </c>
      <c r="M170" t="str">
        <f t="shared" si="31"/>
        <v/>
      </c>
      <c r="N170" t="str">
        <f t="shared" si="32"/>
        <v>jo5c01560_si_013.xyz</v>
      </c>
      <c r="O170" t="b">
        <f t="shared" si="33"/>
        <v>1</v>
      </c>
      <c r="P170" s="13" t="s">
        <v>189</v>
      </c>
      <c r="Q170" s="13" t="s">
        <v>190</v>
      </c>
      <c r="R170" t="str">
        <f t="shared" si="34"/>
        <v>013</v>
      </c>
      <c r="S170">
        <f t="shared" si="40"/>
        <v>118</v>
      </c>
      <c r="T170" s="13" t="str">
        <f>VLOOKUP(Q170,original!B:C,2,FALSE)</f>
        <v>Designing Macrocycles to Adopt Persistent, Isoenergetic Conformations</v>
      </c>
      <c r="U170" s="13" t="s">
        <v>192</v>
      </c>
      <c r="V170" t="str">
        <f t="shared" si="35"/>
        <v>jo5c01560</v>
      </c>
      <c r="W170" t="str">
        <f t="shared" si="36"/>
        <v>jo5c01560_si_013.zip</v>
      </c>
      <c r="X170" t="str">
        <f t="shared" si="37"/>
        <v>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\thttps://acs.figshare.com/articles/dataset/Designing_Macrocycles_to_Adopt_Persistent_Isoenergetic_Conformations/30407017\thttps://acs.figshare.com/articles/dataset/Designing_Macrocycles_to_Adopt_Persistent_Isoenergetic_Conformations/30407020\thttps://acs.figshare.com/articles/dataset/Designing_Macrocycles_to_Adopt_Persistent_Isoenergetic_Conformations/30407023\thttps://acs.figshare.com/articles/dataset/Designing_Macrocycles_to_Adopt_Persistent_Isoenergetic_Conformations/30407026\thttps://acs.figshare.com/articles/dataset/Designing_Macrocycles_to_Adopt_Persistent_Isoenergetic_Conformations/30407029</v>
      </c>
      <c r="Y170" s="1" t="str">
        <f t="shared" si="41"/>
        <v>--localSource c:/temp/acs2/data --targetDir c:/temp/acs2/$DOI$ --noDownload --readOnly  --pubDOI https://doi.org/10.1021/acs.joc.5c01560 --dataDOI "10.1021/acs.joc.5c01560https://acs.figshare.com/articles/dataset/Designing_Macrocycles_to_Adopt_Persistent_Isoenergetic_Conformations/30406996\thttps://acs.figshare.com/articles/dataset/Designing_Macrocycles_to_Adopt_Persistent_Isoenergetic_Conformations/30406999\thttps://acs.figshare.com/articles/dataset/Designing_Macrocycles_to_Adopt_Persistent_Isoenergetic_Conformations/30407002\thttps://acs.figshare.com/articles/dataset/Designing_Macrocycles_to_Adopt_Persistent_Isoenergetic_Conformations/30407005\thttps://acs.figshare.com/articles/dataset/Designing_Macrocycles_to_Adopt_Persistent_Isoenergetic_Conformations/30407008\thttps://acs.figshare.com/articles/dataset/Designing_Macrocycles_to_Adopt_Persistent_Isoenergetic_Conformations/30407011\thttps://acs.figshare.com/articles/dataset/Designing_Macrocycles_to_Adopt_Persistent_Isoenergetic_Conformations/30407014\thttps://acs.figshare.com/articles/dataset/Designing_Macrocycles_to_Adopt_Persistent_Isoenergetic_Conformations/30407017\thttps://acs.figshare.com/articles/dataset/Designing_Macrocycles_to_Adopt_Persistent_Isoenergetic_Conformations/30407020\thttps://acs.figshare.com/articles/dataset/Designing_Macrocycles_to_Adopt_Persistent_Isoenergetic_Conformations/30407023\thttps://acs.figshare.com/articles/dataset/Designing_Macrocycles_to_Adopt_Persistent_Isoenergetic_Conformations/30407026\thttps://acs.figshare.com/articles/dataset/Designing_Macrocycles_to_Adopt_Persistent_Isoenergetic_Conformations/30407029"</v>
      </c>
      <c r="Z170" t="str">
        <f t="shared" si="38"/>
        <v>&lt;br&gt;&lt;a href="https://doi.org/10.1021/acs.joc.5c01560.s013"&gt;https://doi.org/10.1021/acs.joc.5c01560.s013&lt;/a&gt;</v>
      </c>
      <c r="AA170" t="str">
        <f t="shared" si="39"/>
        <v/>
      </c>
    </row>
    <row r="171" spans="1:27" x14ac:dyDescent="0.35">
      <c r="A171">
        <v>170</v>
      </c>
      <c r="B171" s="5" t="str">
        <f t="shared" si="28"/>
        <v>jo5c01570</v>
      </c>
      <c r="C171" s="1" t="str">
        <f t="shared" si="29"/>
        <v>jo5c01570</v>
      </c>
      <c r="D171">
        <f>IF(F171=1,"",IF(AND(D170="",S170=S171),"",S171-SUM(F$2:F170)))</f>
        <v>91</v>
      </c>
      <c r="E171" t="str">
        <f t="shared" si="30"/>
        <v>0</v>
      </c>
      <c r="F171">
        <v>0</v>
      </c>
      <c r="H171">
        <v>34</v>
      </c>
      <c r="I171">
        <v>129</v>
      </c>
      <c r="M171" t="str">
        <f t="shared" si="31"/>
        <v>/*91 jo5c01570 */"https://doi.org/10.1021/acs.joc.5c01570.s002",//Gold-Catalyzed Single O‑Transfer to Internal CF3‑Alkynes. Regioselective Synthesis of 4‑Trifluoromethylated Oxazoles</v>
      </c>
      <c r="N171" t="e">
        <f t="shared" si="32"/>
        <v>#N/A</v>
      </c>
      <c r="O171" t="b">
        <f t="shared" si="33"/>
        <v>0</v>
      </c>
      <c r="P171" s="13" t="s">
        <v>336</v>
      </c>
      <c r="Q171" s="13" t="s">
        <v>337</v>
      </c>
      <c r="R171" t="str">
        <f t="shared" si="34"/>
        <v>002</v>
      </c>
      <c r="S171">
        <f t="shared" si="40"/>
        <v>119</v>
      </c>
      <c r="T171" s="13" t="str">
        <f>VLOOKUP(Q171,original!B:C,2,FALSE)</f>
        <v>Gold-Catalyzed Single O‑Transfer to Internal CF3‑Alkynes. Regioselective Synthesis of 4‑Trifluoromethylated Oxazoles</v>
      </c>
      <c r="U171" s="13" t="s">
        <v>338</v>
      </c>
      <c r="V171" t="str">
        <f t="shared" si="35"/>
        <v>jo5c01570</v>
      </c>
      <c r="W171" t="str">
        <f t="shared" si="36"/>
        <v>jo5c01570_si_002.zip</v>
      </c>
      <c r="X171" t="str">
        <f t="shared" si="37"/>
        <v>https://acs.figshare.com/articles/dataset/Gold-Catalyzed_Single_i_O_i_Transfer_to_Internal_CF_sub_3_sub_Alkynes_Regioselective_Synthesis_of_4_Trifluoromethylated_Oxazoles/29991845</v>
      </c>
      <c r="Y171" s="1" t="str">
        <f t="shared" si="41"/>
        <v>--localSource c:/temp/acs2/data --targetDir c:/temp/acs2/$DOI$ --noDownload --readOnly  --pubDOI https://doi.org/10.1021/acs.joc.5c01570 --dataDOI "10.1021/acs.joc.5c01570https://acs.figshare.com/articles/dataset/Gold-Catalyzed_Single_i_O_i_Transfer_to_Internal_CF_sub_3_sub_Alkynes_Regioselective_Synthesis_of_4_Trifluoromethylated_Oxazoles/29991845"</v>
      </c>
      <c r="Z171" t="str">
        <f t="shared" si="38"/>
        <v>&lt;br&gt;&lt;a href="https://doi.org/10.1021/acs.joc.5c01570.s002"&gt;https://doi.org/10.1021/acs.joc.5c01570.s002&lt;/a&gt;</v>
      </c>
      <c r="AA171" t="str">
        <f t="shared" si="39"/>
        <v/>
      </c>
    </row>
    <row r="172" spans="1:27" x14ac:dyDescent="0.35">
      <c r="A172">
        <v>171</v>
      </c>
      <c r="B172" s="5" t="str">
        <f t="shared" si="28"/>
        <v>jo5c01584</v>
      </c>
      <c r="C172" s="1" t="str">
        <f t="shared" si="29"/>
        <v>jo5c01584</v>
      </c>
      <c r="D172">
        <f>IF(F172=1,"",IF(AND(D171="",S171=S172),"",S172-SUM(F$2:F171)))</f>
        <v>92</v>
      </c>
      <c r="E172" t="str">
        <f t="shared" si="30"/>
        <v>0</v>
      </c>
      <c r="F172">
        <v>0</v>
      </c>
      <c r="H172">
        <v>37</v>
      </c>
      <c r="I172">
        <v>74</v>
      </c>
      <c r="M172" t="str">
        <f t="shared" si="31"/>
        <v>/*92 jo5c01584 */"https://doi.org/10.1021/acs.joc.5c01584.s002",//Tunable Synthesis of Polysubstituted Pyrroles via Silver-Catalyzed (3 + 2) Cycloaddition of α,β-Unsaturated Nitroketones with Isocyanides</v>
      </c>
      <c r="N172" t="e">
        <f t="shared" si="32"/>
        <v>#N/A</v>
      </c>
      <c r="O172" t="b">
        <f t="shared" si="33"/>
        <v>0</v>
      </c>
      <c r="P172" s="13" t="s">
        <v>419</v>
      </c>
      <c r="Q172" s="13" t="s">
        <v>420</v>
      </c>
      <c r="R172" t="str">
        <f t="shared" si="34"/>
        <v>002</v>
      </c>
      <c r="S172">
        <f t="shared" si="40"/>
        <v>120</v>
      </c>
      <c r="T172" s="13" t="str">
        <f>VLOOKUP(Q172,original!B:C,2,FALSE)</f>
        <v>Tunable Synthesis of Polysubstituted Pyrroles via Silver-Catalyzed (3 + 2) Cycloaddition of α,β-Unsaturated Nitroketones with Isocyanides</v>
      </c>
      <c r="U172" s="13" t="s">
        <v>421</v>
      </c>
      <c r="V172" t="str">
        <f t="shared" si="35"/>
        <v>jo5c01584</v>
      </c>
      <c r="W172" t="str">
        <f t="shared" si="36"/>
        <v>jo5c01584_si_002.zip</v>
      </c>
      <c r="X172" t="str">
        <f t="shared" si="37"/>
        <v>https://acs.figshare.com/articles/dataset/Tunable_Synthesis_of_Polysubstituted_Pyrroles_via_Silver-Catalyzed_3_2_Cycloaddition_of_-Unsaturated_Nitroketones_with_Isocyanides/29677709</v>
      </c>
      <c r="Y172" s="1" t="str">
        <f t="shared" si="41"/>
        <v>--localSource c:/temp/acs2/data --targetDir c:/temp/acs2/$DOI$ --noDownload --readOnly  --pubDOI https://doi.org/10.1021/acs.joc.5c01584 --dataDOI "10.1021/acs.joc.5c01584https://acs.figshare.com/articles/dataset/Tunable_Synthesis_of_Polysubstituted_Pyrroles_via_Silver-Catalyzed_3_2_Cycloaddition_of_-Unsaturated_Nitroketones_with_Isocyanides/29677709"</v>
      </c>
      <c r="Z172" t="str">
        <f t="shared" si="38"/>
        <v>&lt;br&gt;&lt;a href="https://doi.org/10.1021/acs.joc.5c01584.s002"&gt;https://doi.org/10.1021/acs.joc.5c01584.s002&lt;/a&gt;</v>
      </c>
      <c r="AA172" t="str">
        <f t="shared" si="39"/>
        <v/>
      </c>
    </row>
    <row r="173" spans="1:27" x14ac:dyDescent="0.35">
      <c r="A173">
        <v>172</v>
      </c>
      <c r="B173" s="5" t="str">
        <f t="shared" si="28"/>
        <v>jo5c01606</v>
      </c>
      <c r="C173" s="1" t="str">
        <f t="shared" si="29"/>
        <v xml:space="preserve">#jo5c01606 </v>
      </c>
      <c r="D173" t="str">
        <f>IF(F173=1,"",IF(AND(D172="",S172=S173),"",S173-SUM(F$2:F172)))</f>
        <v/>
      </c>
      <c r="E173" t="str">
        <f t="shared" si="30"/>
        <v>0</v>
      </c>
      <c r="F173">
        <v>1</v>
      </c>
      <c r="M173" t="str">
        <f t="shared" si="31"/>
        <v/>
      </c>
      <c r="N173" t="str">
        <f t="shared" si="32"/>
        <v>jo5c01606_si_002.xyz</v>
      </c>
      <c r="O173" t="b">
        <f t="shared" si="33"/>
        <v>1</v>
      </c>
      <c r="P173" s="13" t="s">
        <v>360</v>
      </c>
      <c r="Q173" s="13" t="s">
        <v>361</v>
      </c>
      <c r="R173" t="str">
        <f t="shared" si="34"/>
        <v>002</v>
      </c>
      <c r="S173">
        <f t="shared" si="40"/>
        <v>121</v>
      </c>
      <c r="T173" s="13" t="str">
        <f>VLOOKUP(Q173,original!B:C,2,FALSE)</f>
        <v>From Delocalization to Disruption: The Role of Aromaticity in N‑Heterocyclic Carbenes’ Reactions with Diazoalkane and Diazoester</v>
      </c>
      <c r="U173" s="13" t="s">
        <v>362</v>
      </c>
      <c r="V173" t="str">
        <f t="shared" si="35"/>
        <v>jo5c01606</v>
      </c>
      <c r="W173" t="str">
        <f t="shared" si="36"/>
        <v>jo5c01606_si_002.zip</v>
      </c>
      <c r="X173" t="str">
        <f t="shared" si="37"/>
        <v>https://acs.figshare.com/articles/dataset/From_Delocalization_to_Disruption_The_Role_of_Aromaticity_in_i_N_i_Heterocyclic_Carbenes_Reactions_with_Diazoalkane_and_Diazoester/29970242</v>
      </c>
      <c r="Y173" s="1" t="str">
        <f t="shared" si="41"/>
        <v>--localSource c:/temp/acs2/data --targetDir c:/temp/acs2/$DOI$ --noDownload --readOnly  --pubDOI https://doi.org/10.1021/acs.joc.5c01606 --dataDOI "10.1021/acs.joc.5c01606https://acs.figshare.com/articles/dataset/From_Delocalization_to_Disruption_The_Role_of_Aromaticity_in_i_N_i_Heterocyclic_Carbenes_Reactions_with_Diazoalkane_and_Diazoester/29970242"</v>
      </c>
      <c r="Z173" t="str">
        <f t="shared" si="38"/>
        <v>&lt;br&gt;&lt;a href="https://doi.org/10.1021/acs.joc.5c01606.s002"&gt;https://doi.org/10.1021/acs.joc.5c01606.s002&lt;/a&gt;</v>
      </c>
      <c r="AA173" t="str">
        <f t="shared" si="39"/>
        <v/>
      </c>
    </row>
    <row r="174" spans="1:27" x14ac:dyDescent="0.35">
      <c r="A174">
        <v>173</v>
      </c>
      <c r="B174" s="5" t="str">
        <f t="shared" si="28"/>
        <v>jo5c01688</v>
      </c>
      <c r="C174" s="1" t="str">
        <f t="shared" si="29"/>
        <v>#jo5c01688 xyz only</v>
      </c>
      <c r="D174" t="str">
        <f>IF(F174=1,"",IF(AND(D173="",S173=S174),"",S174-SUM(F$2:F173)))</f>
        <v/>
      </c>
      <c r="E174" t="str">
        <f t="shared" si="30"/>
        <v>0</v>
      </c>
      <c r="F174">
        <v>1</v>
      </c>
      <c r="G174" t="s">
        <v>2253</v>
      </c>
      <c r="H174">
        <v>0</v>
      </c>
      <c r="I174">
        <v>0</v>
      </c>
      <c r="M174" t="str">
        <f t="shared" si="31"/>
        <v/>
      </c>
      <c r="N174" t="e">
        <f t="shared" si="32"/>
        <v>#N/A</v>
      </c>
      <c r="O174" t="b">
        <f t="shared" si="33"/>
        <v>0</v>
      </c>
      <c r="P174" s="13" t="s">
        <v>135</v>
      </c>
      <c r="Q174" s="13" t="s">
        <v>136</v>
      </c>
      <c r="R174" t="str">
        <f t="shared" si="34"/>
        <v>001</v>
      </c>
      <c r="S174">
        <f t="shared" si="40"/>
        <v>122</v>
      </c>
      <c r="T174" s="13" t="str">
        <f>VLOOKUP(Q174,original!B:C,2,FALSE)</f>
        <v>Pyrene-Bridged Tetrathienyles: Synthesis and Photochromism</v>
      </c>
      <c r="U174" s="13" t="s">
        <v>138</v>
      </c>
      <c r="V174" t="str">
        <f t="shared" si="35"/>
        <v>jo5c01688</v>
      </c>
      <c r="W174" t="str">
        <f t="shared" si="36"/>
        <v>jo5c01688_si_001.zip</v>
      </c>
      <c r="X174" t="str">
        <f t="shared" si="37"/>
        <v>https://acs.figshare.com/articles/dataset/Pyrene-Bridged_Tetrathienyles_Synthesis_and_Photochromism/30681414</v>
      </c>
      <c r="Y174" s="1" t="str">
        <f t="shared" si="41"/>
        <v>--localSource c:/temp/acs2/data --targetDir c:/temp/acs2/$DOI$ --noDownload --readOnly  --pubDOI https://doi.org/10.1021/acs.joc.5c01688 --dataDOI "10.1021/acs.joc.5c01688https://acs.figshare.com/articles/dataset/Pyrene-Bridged_Tetrathienyles_Synthesis_and_Photochromism/30681414"</v>
      </c>
      <c r="Z174" t="str">
        <f t="shared" si="38"/>
        <v>&lt;br&gt;&lt;a href="https://doi.org/10.1021/acs.joc.5c01688.s001"&gt;https://doi.org/10.1021/acs.joc.5c01688.s001&lt;/a&gt;</v>
      </c>
      <c r="AA174" t="str">
        <f t="shared" si="39"/>
        <v/>
      </c>
    </row>
    <row r="175" spans="1:27" x14ac:dyDescent="0.35">
      <c r="A175">
        <v>174</v>
      </c>
      <c r="B175" s="5" t="str">
        <f t="shared" si="28"/>
        <v>jo5c01743</v>
      </c>
      <c r="C175" s="1" t="str">
        <f t="shared" si="29"/>
        <v>#jo5c01743 text</v>
      </c>
      <c r="D175" t="str">
        <f>IF(F175=1,"",IF(AND(D174="",S174=S175),"",S175-SUM(F$2:F174)))</f>
        <v/>
      </c>
      <c r="E175" t="str">
        <f t="shared" si="30"/>
        <v>0</v>
      </c>
      <c r="F175">
        <v>1</v>
      </c>
      <c r="G175" t="s">
        <v>1099</v>
      </c>
      <c r="M175" t="str">
        <f t="shared" si="31"/>
        <v/>
      </c>
      <c r="N175" t="e">
        <f t="shared" si="32"/>
        <v>#N/A</v>
      </c>
      <c r="O175" t="b">
        <f t="shared" si="33"/>
        <v>0</v>
      </c>
      <c r="P175" s="13" t="s">
        <v>175</v>
      </c>
      <c r="Q175" s="13" t="s">
        <v>176</v>
      </c>
      <c r="R175" t="str">
        <f t="shared" si="34"/>
        <v>001</v>
      </c>
      <c r="S175">
        <f t="shared" si="40"/>
        <v>123</v>
      </c>
      <c r="T175" s="13" t="str">
        <f>VLOOKUP(Q175,original!B:C,2,FALSE)</f>
        <v>Distinct Folding Behavior of ortho-Phenylenes and 2,3-Pyrazinylenes</v>
      </c>
      <c r="U175" s="13" t="s">
        <v>178</v>
      </c>
      <c r="V175" t="str">
        <f t="shared" si="35"/>
        <v>jo5c01743</v>
      </c>
      <c r="W175" t="str">
        <f t="shared" si="36"/>
        <v>jo5c01743_si_001.zip</v>
      </c>
      <c r="X175" t="str">
        <f t="shared" si="37"/>
        <v>https://acs.figshare.com/articles/dataset/Distinct_Folding_Behavior_of_i_ortho_i_-Phenylenes_and_2_3-Pyrazinylenes/30498590</v>
      </c>
      <c r="Y175" s="1" t="str">
        <f t="shared" si="41"/>
        <v>--localSource c:/temp/acs2/data --targetDir c:/temp/acs2/$DOI$ --noDownload --readOnly  --pubDOI https://doi.org/10.1021/acs.joc.5c01743 --dataDOI "10.1021/acs.joc.5c01743https://acs.figshare.com/articles/dataset/Distinct_Folding_Behavior_of_i_ortho_i_-Phenylenes_and_2_3-Pyrazinylenes/30498590"</v>
      </c>
      <c r="Z175" t="str">
        <f t="shared" si="38"/>
        <v>&lt;br&gt;&lt;a href="https://doi.org/10.1021/acs.joc.5c01743.s001"&gt;https://doi.org/10.1021/acs.joc.5c01743.s001&lt;/a&gt;</v>
      </c>
      <c r="AA175" t="str">
        <f t="shared" si="39"/>
        <v/>
      </c>
    </row>
    <row r="176" spans="1:27" x14ac:dyDescent="0.35">
      <c r="A176">
        <v>175</v>
      </c>
      <c r="B176" s="5" t="str">
        <f t="shared" si="28"/>
        <v>jo5c01759</v>
      </c>
      <c r="C176" s="1" t="str">
        <f t="shared" si="29"/>
        <v>jo5c01759</v>
      </c>
      <c r="D176">
        <f>IF(F176=1,"",IF(AND(D175="",S175=S176),"",S176-SUM(F$2:F175)))</f>
        <v>93</v>
      </c>
      <c r="E176" t="str">
        <f t="shared" si="30"/>
        <v>0</v>
      </c>
      <c r="F176">
        <v>0</v>
      </c>
      <c r="H176">
        <v>34</v>
      </c>
      <c r="I176">
        <v>64</v>
      </c>
      <c r="M176" t="str">
        <f t="shared" si="31"/>
        <v>/*93 jo5c01759 */"https://doi.org/10.1021/acs.joc.5c01759.s001",//Photoredox Catalyzed Cyclization of Enaminones/Ketene N,S‑Acetals with β‑Ketodinitriles to Access Polysubstituted Pyrroles</v>
      </c>
      <c r="N176" t="e">
        <f t="shared" si="32"/>
        <v>#N/A</v>
      </c>
      <c r="O176" t="b">
        <f t="shared" si="33"/>
        <v>0</v>
      </c>
      <c r="P176" s="13" t="s">
        <v>290</v>
      </c>
      <c r="Q176" s="13" t="s">
        <v>291</v>
      </c>
      <c r="R176" t="str">
        <f t="shared" si="34"/>
        <v>001</v>
      </c>
      <c r="S176">
        <f t="shared" si="40"/>
        <v>124</v>
      </c>
      <c r="T176" s="13" t="str">
        <f>VLOOKUP(Q176,original!B:C,2,FALSE)</f>
        <v>Photoredox Catalyzed Cyclization of Enaminones/Ketene N,S‑Acetals with β‑Ketodinitriles to Access Polysubstituted Pyrroles</v>
      </c>
      <c r="U176" s="13" t="s">
        <v>292</v>
      </c>
      <c r="V176" t="str">
        <f t="shared" si="35"/>
        <v>jo5c01759</v>
      </c>
      <c r="W176" t="str">
        <f t="shared" si="36"/>
        <v>jo5c01759_si_001.zip</v>
      </c>
      <c r="X176" t="str">
        <f t="shared" si="37"/>
        <v>https://acs.figshare.com/articles/dataset/Photoredox_Catalyzed_Cyclization_of_Enaminones_Ketene_i_N_i_i_S_i_Acetals_with_Ketodinitriles_to_Access_Polysubstituted_Pyrroles/30124592</v>
      </c>
      <c r="Y176" s="1" t="str">
        <f t="shared" si="41"/>
        <v>--localSource c:/temp/acs2/data --targetDir c:/temp/acs2/$DOI$ --noDownload --readOnly  --pubDOI https://doi.org/10.1021/acs.joc.5c01759 --dataDOI "10.1021/acs.joc.5c01759https://acs.figshare.com/articles/dataset/Photoredox_Catalyzed_Cyclization_of_Enaminones_Ketene_i_N_i_i_S_i_Acetals_with_Ketodinitriles_to_Access_Polysubstituted_Pyrroles/30124592"</v>
      </c>
      <c r="Z176" t="str">
        <f t="shared" si="38"/>
        <v>&lt;br&gt;&lt;a href="https://doi.org/10.1021/acs.joc.5c01759.s001"&gt;https://doi.org/10.1021/acs.joc.5c01759.s001&lt;/a&gt;</v>
      </c>
      <c r="AA176" t="str">
        <f t="shared" si="39"/>
        <v/>
      </c>
    </row>
    <row r="177" spans="1:27" x14ac:dyDescent="0.35">
      <c r="A177">
        <v>176</v>
      </c>
      <c r="B177" s="5" t="str">
        <f t="shared" si="28"/>
        <v>jo5c01774</v>
      </c>
      <c r="C177" s="1" t="str">
        <f t="shared" si="29"/>
        <v xml:space="preserve">#jo5c01774 </v>
      </c>
      <c r="D177" t="str">
        <f>IF(F177=1,"",IF(AND(D176="",S176=S177),"",S177-SUM(F$2:F176)))</f>
        <v/>
      </c>
      <c r="E177" t="str">
        <f t="shared" si="30"/>
        <v>0</v>
      </c>
      <c r="F177">
        <v>1</v>
      </c>
      <c r="M177" t="str">
        <f t="shared" si="31"/>
        <v/>
      </c>
      <c r="N177" t="str">
        <f t="shared" si="32"/>
        <v>jo5c01774_si_002.xyz</v>
      </c>
      <c r="O177" t="b">
        <f t="shared" si="33"/>
        <v>1</v>
      </c>
      <c r="P177" s="13" t="s">
        <v>229</v>
      </c>
      <c r="Q177" s="13" t="s">
        <v>230</v>
      </c>
      <c r="R177" t="str">
        <f t="shared" si="34"/>
        <v>002</v>
      </c>
      <c r="S177">
        <f t="shared" si="40"/>
        <v>125</v>
      </c>
      <c r="T177" s="13" t="str">
        <f>VLOOKUP(Q177,original!B:C,2,FALSE)</f>
        <v>Total Synthesis of Daphnepapytone A</v>
      </c>
      <c r="U177" s="13" t="s">
        <v>232</v>
      </c>
      <c r="V177" t="str">
        <f t="shared" si="35"/>
        <v>jo5c01774</v>
      </c>
      <c r="W177" t="str">
        <f t="shared" si="36"/>
        <v>jo5c01774_si_002.zip</v>
      </c>
      <c r="X177" t="str">
        <f t="shared" si="37"/>
        <v>https://acs.figshare.com/articles/dataset/Total_Synthesis_of_Daphnepapytone_A/30373532</v>
      </c>
      <c r="Y177" s="1" t="str">
        <f t="shared" si="41"/>
        <v>--localSource c:/temp/acs2/data --targetDir c:/temp/acs2/$DOI$ --noDownload --readOnly  --pubDOI https://doi.org/10.1021/acs.joc.5c01774 --dataDOI "10.1021/acs.joc.5c01774https://acs.figshare.com/articles/dataset/Total_Synthesis_of_Daphnepapytone_A/30373532"</v>
      </c>
      <c r="Z177" t="str">
        <f t="shared" si="38"/>
        <v>&lt;br&gt;&lt;a href="https://doi.org/10.1021/acs.joc.5c01774.s002"&gt;https://doi.org/10.1021/acs.joc.5c01774.s002&lt;/a&gt;</v>
      </c>
      <c r="AA177" t="str">
        <f t="shared" si="39"/>
        <v/>
      </c>
    </row>
    <row r="178" spans="1:27" x14ac:dyDescent="0.35">
      <c r="A178">
        <v>177</v>
      </c>
      <c r="B178" s="5" t="str">
        <f t="shared" si="28"/>
        <v>jo5c01777</v>
      </c>
      <c r="C178" s="1" t="str">
        <f t="shared" si="29"/>
        <v>jo5c01777</v>
      </c>
      <c r="D178">
        <f>IF(F178=1,"",IF(AND(D177="",S177=S178),"",S178-SUM(F$2:F177)))</f>
        <v>94</v>
      </c>
      <c r="E178" t="str">
        <f t="shared" si="30"/>
        <v>0</v>
      </c>
      <c r="F178">
        <v>0</v>
      </c>
      <c r="H178">
        <v>25</v>
      </c>
      <c r="I178">
        <v>53</v>
      </c>
      <c r="M178" t="str">
        <f t="shared" si="31"/>
        <v>/*94 jo5c01777 */"https://doi.org/10.1021/acs.joc.5c01777.s001",//Synthesis of Unsymmetrical Diaryl Disulfides via I2/DMF-Assisted Reductive Cross-Coupling of Sodium Sulfinates with Arenediazonium Tetrafluoroborates/Sodium Metabisulfite</v>
      </c>
      <c r="N178" t="e">
        <f t="shared" si="32"/>
        <v>#N/A</v>
      </c>
      <c r="O178" t="b">
        <f t="shared" si="33"/>
        <v>0</v>
      </c>
      <c r="P178" s="13" t="s">
        <v>271</v>
      </c>
      <c r="Q178" s="13" t="s">
        <v>272</v>
      </c>
      <c r="R178" t="str">
        <f t="shared" si="34"/>
        <v>001</v>
      </c>
      <c r="S178">
        <f t="shared" si="40"/>
        <v>126</v>
      </c>
      <c r="T178" s="13" t="str">
        <f>VLOOKUP(Q178,original!B:C,2,FALSE)</f>
        <v>Synthesis of Unsymmetrical Diaryl Disulfides via I2/DMF-Assisted Reductive Cross-Coupling of Sodium Sulfinates with Arenediazonium Tetrafluoroborates/Sodium Metabisulfite</v>
      </c>
      <c r="U178" s="13" t="s">
        <v>274</v>
      </c>
      <c r="V178" t="str">
        <f t="shared" si="35"/>
        <v>jo5c01777</v>
      </c>
      <c r="W178" t="str">
        <f t="shared" si="36"/>
        <v>jo5c01777_si_001.zip</v>
      </c>
      <c r="X178" t="str">
        <f t="shared" si="37"/>
        <v>https://acs.figshare.com/articles/dataset/Synthesis_of_Unsymmetrical_Diaryl_Disulfides_via_I_sub_2_sub_DMF-Assisted_Reductive_Cross-Coupling_of_Sodium_Sulfinates_with_Arenediazonium_Tetrafluoroborates_Sodium_Metabisulfite/30153475</v>
      </c>
      <c r="Y178" s="1" t="str">
        <f t="shared" si="41"/>
        <v>--localSource c:/temp/acs2/data --targetDir c:/temp/acs2/$DOI$ --noDownload --readOnly  --pubDOI https://doi.org/10.1021/acs.joc.5c01777 --dataDOI "10.1021/acs.joc.5c01777https://acs.figshare.com/articles/dataset/Synthesis_of_Unsymmetrical_Diaryl_Disulfides_via_I_sub_2_sub_DMF-Assisted_Reductive_Cross-Coupling_of_Sodium_Sulfinates_with_Arenediazonium_Tetrafluoroborates_Sodium_Metabisulfite/30153475"</v>
      </c>
      <c r="Z178" t="str">
        <f t="shared" si="38"/>
        <v>&lt;br&gt;&lt;a href="https://doi.org/10.1021/acs.joc.5c01777.s001"&gt;https://doi.org/10.1021/acs.joc.5c01777.s001&lt;/a&gt;</v>
      </c>
      <c r="AA178" t="str">
        <f t="shared" si="39"/>
        <v/>
      </c>
    </row>
    <row r="179" spans="1:27" x14ac:dyDescent="0.35">
      <c r="A179">
        <v>178</v>
      </c>
      <c r="B179" s="5" t="str">
        <f t="shared" si="28"/>
        <v>jo5c01910</v>
      </c>
      <c r="C179" s="1" t="str">
        <f t="shared" si="29"/>
        <v>#jo5c01910 text</v>
      </c>
      <c r="D179" t="str">
        <f>IF(F179=1,"",IF(AND(D178="",S178=S179),"",S179-SUM(F$2:F178)))</f>
        <v/>
      </c>
      <c r="E179" t="str">
        <f t="shared" si="30"/>
        <v>0</v>
      </c>
      <c r="F179">
        <v>1</v>
      </c>
      <c r="G179" t="s">
        <v>1099</v>
      </c>
      <c r="M179" t="str">
        <f t="shared" si="31"/>
        <v/>
      </c>
      <c r="N179" t="e">
        <f t="shared" si="32"/>
        <v>#N/A</v>
      </c>
      <c r="O179" t="b">
        <f t="shared" si="33"/>
        <v>0</v>
      </c>
      <c r="P179" s="13" t="s">
        <v>62</v>
      </c>
      <c r="Q179" s="13" t="s">
        <v>63</v>
      </c>
      <c r="R179" t="str">
        <f t="shared" si="34"/>
        <v>001</v>
      </c>
      <c r="S179">
        <f t="shared" si="40"/>
        <v>127</v>
      </c>
      <c r="T179" s="13" t="str">
        <f>VLOOKUP(Q179,original!B:C,2,FALSE)</f>
        <v>Twisting BN-Acenes: A Computational Study</v>
      </c>
      <c r="U179" s="13" t="s">
        <v>65</v>
      </c>
      <c r="V179" t="str">
        <f t="shared" si="35"/>
        <v>jo5c01910</v>
      </c>
      <c r="W179" t="str">
        <f t="shared" si="36"/>
        <v>jo5c01910_si_001.zip</v>
      </c>
      <c r="X179" t="str">
        <f t="shared" si="37"/>
        <v>https://acs.figshare.com/articles/dataset/Twisting_BN-Acenes_A_Computational_Study/30877284</v>
      </c>
      <c r="Y179" s="1" t="str">
        <f t="shared" si="41"/>
        <v>--localSource c:/temp/acs2/data --targetDir c:/temp/acs2/$DOI$ --noDownload --readOnly  --pubDOI https://doi.org/10.1021/acs.joc.5c01910 --dataDOI "10.1021/acs.joc.5c01910https://acs.figshare.com/articles/dataset/Twisting_BN-Acenes_A_Computational_Study/30877284"</v>
      </c>
      <c r="Z179" t="str">
        <f t="shared" si="38"/>
        <v>&lt;br&gt;&lt;a href="https://doi.org/10.1021/acs.joc.5c01910.s001"&gt;https://doi.org/10.1021/acs.joc.5c01910.s001&lt;/a&gt;</v>
      </c>
      <c r="AA179" t="str">
        <f t="shared" si="39"/>
        <v/>
      </c>
    </row>
    <row r="180" spans="1:27" x14ac:dyDescent="0.35">
      <c r="A180">
        <v>179</v>
      </c>
      <c r="B180" s="5" t="str">
        <f t="shared" si="28"/>
        <v>jo5c01963</v>
      </c>
      <c r="C180" s="1" t="str">
        <f t="shared" si="29"/>
        <v>jo5c01963</v>
      </c>
      <c r="D180">
        <f>IF(F180=1,"",IF(AND(D179="",S179=S180),"",S180-SUM(F$2:F179)))</f>
        <v>95</v>
      </c>
      <c r="E180" t="str">
        <f t="shared" si="30"/>
        <v>0</v>
      </c>
      <c r="F180">
        <v>0</v>
      </c>
      <c r="H180">
        <v>41</v>
      </c>
      <c r="I180">
        <v>84</v>
      </c>
      <c r="M180" t="str">
        <f t="shared" si="31"/>
        <v>/*95 jo5c01963 */"https://doi.org/10.1021/acs.joc.5c01963.s002",//Palladium-Catalyzed Carbonylative Cross-Coupling of Aryl (Pseudo)halides and Cyclopropanols</v>
      </c>
      <c r="N180" t="e">
        <f t="shared" si="32"/>
        <v>#N/A</v>
      </c>
      <c r="O180" t="b">
        <f t="shared" si="33"/>
        <v>0</v>
      </c>
      <c r="P180" s="13" t="s">
        <v>225</v>
      </c>
      <c r="Q180" s="13" t="s">
        <v>226</v>
      </c>
      <c r="R180" t="str">
        <f t="shared" si="34"/>
        <v>002</v>
      </c>
      <c r="S180">
        <f t="shared" si="40"/>
        <v>128</v>
      </c>
      <c r="T180" s="13" t="str">
        <f>VLOOKUP(Q180,original!B:C,2,FALSE)</f>
        <v>Palladium-Catalyzed Carbonylative Cross-Coupling of Aryl (Pseudo)halides and Cyclopropanols</v>
      </c>
      <c r="U180" s="13" t="s">
        <v>228</v>
      </c>
      <c r="V180" t="str">
        <f t="shared" si="35"/>
        <v>jo5c01963</v>
      </c>
      <c r="W180" t="str">
        <f t="shared" si="36"/>
        <v>jo5c01963_si_002.zip</v>
      </c>
      <c r="X180" t="str">
        <f t="shared" si="37"/>
        <v>https://acs.figshare.com/articles/dataset/Palladium-Catalyzed_Carbonylative_Cross-Coupling_of_Aryl_Pseudo_halides_and_Cyclopropanols/30381968</v>
      </c>
      <c r="Y180" s="1" t="str">
        <f t="shared" si="41"/>
        <v>--localSource c:/temp/acs2/data --targetDir c:/temp/acs2/$DOI$ --noDownload --readOnly  --pubDOI https://doi.org/10.1021/acs.joc.5c01963 --dataDOI "10.1021/acs.joc.5c01963https://acs.figshare.com/articles/dataset/Palladium-Catalyzed_Carbonylative_Cross-Coupling_of_Aryl_Pseudo_halides_and_Cyclopropanols/30381968"</v>
      </c>
      <c r="Z180" t="str">
        <f t="shared" si="38"/>
        <v>&lt;br&gt;&lt;a href="https://doi.org/10.1021/acs.joc.5c01963.s002"&gt;https://doi.org/10.1021/acs.joc.5c01963.s002&lt;/a&gt;</v>
      </c>
      <c r="AA180" t="str">
        <f t="shared" si="39"/>
        <v/>
      </c>
    </row>
    <row r="181" spans="1:27" x14ac:dyDescent="0.35">
      <c r="A181">
        <v>180</v>
      </c>
      <c r="B181" s="5" t="str">
        <f t="shared" si="28"/>
        <v>jo5c01989</v>
      </c>
      <c r="C181" s="1" t="str">
        <f t="shared" si="29"/>
        <v>jo5c01989</v>
      </c>
      <c r="D181">
        <f>IF(F181=1,"",IF(AND(D180="",S180=S181),"",S181-SUM(F$2:F180)))</f>
        <v>96</v>
      </c>
      <c r="E181" t="str">
        <f t="shared" si="30"/>
        <v>0</v>
      </c>
      <c r="F181">
        <v>0</v>
      </c>
      <c r="H181">
        <v>34</v>
      </c>
      <c r="I181">
        <v>68</v>
      </c>
      <c r="M181" t="str">
        <f t="shared" si="31"/>
        <v>/*96 jo5c01989 */"https://doi.org/10.1021/acs.joc.5c01989.s002",//Peptidyl Glycosyl Thiols and Disulfides for Enantioselective Hydrogen Atom Transfer (HAT) and Thiyl Radical Catalysis</v>
      </c>
      <c r="N181" t="e">
        <f t="shared" si="32"/>
        <v>#N/A</v>
      </c>
      <c r="O181" t="b">
        <f t="shared" si="33"/>
        <v>0</v>
      </c>
      <c r="P181" s="13" t="s">
        <v>218</v>
      </c>
      <c r="Q181" s="13" t="s">
        <v>219</v>
      </c>
      <c r="R181" t="str">
        <f t="shared" si="34"/>
        <v>002</v>
      </c>
      <c r="S181">
        <f t="shared" si="40"/>
        <v>129</v>
      </c>
      <c r="T181" s="13" t="str">
        <f>VLOOKUP(Q181,original!B:C,2,FALSE)</f>
        <v>Peptidyl Glycosyl Thiols and Disulfides for Enantioselective Hydrogen Atom Transfer (HAT) and Thiyl Radical Catalysis</v>
      </c>
      <c r="U181" s="13" t="s">
        <v>221</v>
      </c>
      <c r="V181" t="str">
        <f t="shared" si="35"/>
        <v>jo5c01989</v>
      </c>
      <c r="W181" t="str">
        <f t="shared" si="36"/>
        <v>jo5c01989_si_002.zip</v>
      </c>
      <c r="X181" t="str">
        <f t="shared" si="37"/>
        <v>https://acs.figshare.com/articles/dataset/Peptidyl_Glycosyl_Thiols_and_Disulfides_for_Enantioselective_Hydrogen_Atom_Transfer_HAT_and_Thiyl_Radical_Catalysis/30401940</v>
      </c>
      <c r="Y181" s="1" t="str">
        <f t="shared" si="41"/>
        <v>--localSource c:/temp/acs2/data --targetDir c:/temp/acs2/$DOI$ --noDownload --readOnly  --pubDOI https://doi.org/10.1021/acs.joc.5c01989 --dataDOI "10.1021/acs.joc.5c01989https://acs.figshare.com/articles/dataset/Peptidyl_Glycosyl_Thiols_and_Disulfides_for_Enantioselective_Hydrogen_Atom_Transfer_HAT_and_Thiyl_Radical_Catalysis/30401940"</v>
      </c>
      <c r="Z181" t="str">
        <f t="shared" si="38"/>
        <v>&lt;br&gt;&lt;a href="https://doi.org/10.1021/acs.joc.5c01989.s002"&gt;https://doi.org/10.1021/acs.joc.5c01989.s002&lt;/a&gt;</v>
      </c>
      <c r="AA181" t="str">
        <f t="shared" si="39"/>
        <v/>
      </c>
    </row>
    <row r="182" spans="1:27" x14ac:dyDescent="0.35">
      <c r="A182">
        <v>181</v>
      </c>
      <c r="B182" s="5" t="str">
        <f t="shared" si="28"/>
        <v>jo5c02022</v>
      </c>
      <c r="C182" s="1" t="str">
        <f t="shared" si="29"/>
        <v>#jo5c02022 text</v>
      </c>
      <c r="D182" t="str">
        <f>IF(F182=1,"",IF(AND(D181="",S181=S182),"",S182-SUM(F$2:F181)))</f>
        <v/>
      </c>
      <c r="E182" t="str">
        <f t="shared" si="30"/>
        <v>0</v>
      </c>
      <c r="F182">
        <v>1</v>
      </c>
      <c r="G182" t="s">
        <v>1099</v>
      </c>
      <c r="M182" t="str">
        <f t="shared" si="31"/>
        <v/>
      </c>
      <c r="N182" t="e">
        <f t="shared" si="32"/>
        <v>#N/A</v>
      </c>
      <c r="O182" t="b">
        <f t="shared" si="33"/>
        <v>0</v>
      </c>
      <c r="P182" s="13" t="s">
        <v>77</v>
      </c>
      <c r="Q182" s="13" t="s">
        <v>78</v>
      </c>
      <c r="R182" t="str">
        <f t="shared" si="34"/>
        <v>002</v>
      </c>
      <c r="S182">
        <f t="shared" si="40"/>
        <v>130</v>
      </c>
      <c r="T182" s="13" t="str">
        <f>VLOOKUP(Q182,original!B:C,2,FALSE)</f>
        <v>Catalyst-Free C–N Coupling under Ambient Conditions via High-Throughput Microdroplet Reactions</v>
      </c>
      <c r="U182" s="13" t="s">
        <v>79</v>
      </c>
      <c r="V182" t="str">
        <f t="shared" si="35"/>
        <v>jo5c02022</v>
      </c>
      <c r="W182" t="str">
        <f t="shared" si="36"/>
        <v>jo5c02022_si_002.zip</v>
      </c>
      <c r="X182" t="str">
        <f t="shared" si="37"/>
        <v>https://acs.figshare.com/articles/dataset/Catalyst-Free_C_N_Coupling_under_Ambient_Conditions_via_High-Throughput_Microdroplet_Reactions/30861758</v>
      </c>
      <c r="Y182" s="1" t="str">
        <f t="shared" si="41"/>
        <v>--localSource c:/temp/acs2/data --targetDir c:/temp/acs2/$DOI$ --noDownload --readOnly  --pubDOI https://doi.org/10.1021/acs.joc.5c02022 --dataDOI "10.1021/acs.joc.5c02022https://acs.figshare.com/articles/dataset/Catalyst-Free_C_N_Coupling_under_Ambient_Conditions_via_High-Throughput_Microdroplet_Reactions/30861758"</v>
      </c>
      <c r="Z182" t="str">
        <f t="shared" si="38"/>
        <v>&lt;br&gt;&lt;a href="https://doi.org/10.1021/acs.joc.5c02022.s002"&gt;https://doi.org/10.1021/acs.joc.5c02022.s002&lt;/a&gt;</v>
      </c>
      <c r="AA182" t="str">
        <f t="shared" si="39"/>
        <v/>
      </c>
    </row>
    <row r="183" spans="1:27" x14ac:dyDescent="0.35">
      <c r="A183">
        <v>182</v>
      </c>
      <c r="B183" s="5" t="str">
        <f t="shared" si="28"/>
        <v>jo5c02047</v>
      </c>
      <c r="C183" s="1" t="str">
        <f t="shared" si="29"/>
        <v>jo5c02047</v>
      </c>
      <c r="D183">
        <f>IF(F183=1,"",IF(AND(D182="",S182=S183),"",S183-SUM(F$2:F182)))</f>
        <v>97</v>
      </c>
      <c r="E183" t="str">
        <f t="shared" si="30"/>
        <v>0</v>
      </c>
      <c r="F183">
        <v>0</v>
      </c>
      <c r="H183">
        <v>34</v>
      </c>
      <c r="I183">
        <v>68</v>
      </c>
      <c r="M183" t="str">
        <f t="shared" si="31"/>
        <v>/*97 jo5c02047 */"https://doi.org/10.1021/acs.joc.5c02047.s002",//Photoredox-Catalyzed Deoxygenative C–H Alkylation of Azauracils via Xanthate-Activated Alcohols</v>
      </c>
      <c r="N183" t="e">
        <f t="shared" si="32"/>
        <v>#N/A</v>
      </c>
      <c r="O183" t="b">
        <f t="shared" si="33"/>
        <v>0</v>
      </c>
      <c r="P183" s="13" t="s">
        <v>268</v>
      </c>
      <c r="Q183" s="13" t="s">
        <v>269</v>
      </c>
      <c r="R183" t="str">
        <f t="shared" si="34"/>
        <v>002</v>
      </c>
      <c r="S183">
        <f t="shared" si="40"/>
        <v>131</v>
      </c>
      <c r="T183" s="13" t="str">
        <f>VLOOKUP(Q183,original!B:C,2,FALSE)</f>
        <v>Photoredox-Catalyzed Deoxygenative C–H Alkylation of Azauracils via Xanthate-Activated Alcohols</v>
      </c>
      <c r="U183" s="13" t="s">
        <v>270</v>
      </c>
      <c r="V183" t="str">
        <f t="shared" si="35"/>
        <v>jo5c02047</v>
      </c>
      <c r="W183" t="str">
        <f t="shared" si="36"/>
        <v>jo5c02047_si_002.zip</v>
      </c>
      <c r="X183" t="str">
        <f t="shared" si="37"/>
        <v>https://acs.figshare.com/articles/dataset/Photoredox-Catalyzed_Deoxygenative_C_H_Alkylation_of_Azauracils_via_Xanthate-Activated_Alcohols/30170858</v>
      </c>
      <c r="Y183" s="1" t="str">
        <f t="shared" si="41"/>
        <v>--localSource c:/temp/acs2/data --targetDir c:/temp/acs2/$DOI$ --noDownload --readOnly  --pubDOI https://doi.org/10.1021/acs.joc.5c02047 --dataDOI "10.1021/acs.joc.5c02047https://acs.figshare.com/articles/dataset/Photoredox-Catalyzed_Deoxygenative_C_H_Alkylation_of_Azauracils_via_Xanthate-Activated_Alcohols/30170858"</v>
      </c>
      <c r="Z183" t="str">
        <f t="shared" si="38"/>
        <v>&lt;br&gt;&lt;a href="https://doi.org/10.1021/acs.joc.5c02047.s002"&gt;https://doi.org/10.1021/acs.joc.5c02047.s002&lt;/a&gt;</v>
      </c>
      <c r="AA183" t="str">
        <f t="shared" si="39"/>
        <v/>
      </c>
    </row>
    <row r="184" spans="1:27" x14ac:dyDescent="0.35">
      <c r="A184">
        <v>183</v>
      </c>
      <c r="B184" s="5" t="str">
        <f t="shared" si="28"/>
        <v>jo5c02084</v>
      </c>
      <c r="C184" s="1" t="str">
        <f t="shared" si="29"/>
        <v>jo5c02084</v>
      </c>
      <c r="D184">
        <f>IF(F184=1,"",IF(AND(D183="",S183=S184),"",S184-SUM(F$2:F183)))</f>
        <v>98</v>
      </c>
      <c r="E184" t="str">
        <f t="shared" si="30"/>
        <v>0</v>
      </c>
      <c r="F184">
        <v>0</v>
      </c>
      <c r="H184">
        <v>63</v>
      </c>
      <c r="I184">
        <v>197</v>
      </c>
      <c r="M184" t="str">
        <f t="shared" si="31"/>
        <v>/*98 jo5c02084 */"https://doi.org/10.1021/acs.joc.5c02084.s002",//Organophotoredox-Catalyzed Umpolung Strategy to β‑Fluoroamides via Carbamoylative Fluorination of Alkene in Aqueous Medium</v>
      </c>
      <c r="N184" t="e">
        <f t="shared" si="32"/>
        <v>#N/A</v>
      </c>
      <c r="O184" t="b">
        <f t="shared" si="33"/>
        <v>0</v>
      </c>
      <c r="P184" s="13" t="s">
        <v>161</v>
      </c>
      <c r="Q184" s="13" t="s">
        <v>162</v>
      </c>
      <c r="R184" t="str">
        <f t="shared" si="34"/>
        <v>002</v>
      </c>
      <c r="S184">
        <f t="shared" si="40"/>
        <v>132</v>
      </c>
      <c r="T184" s="13" t="str">
        <f>VLOOKUP(Q184,original!B:C,2,FALSE)</f>
        <v>Organophotoredox-Catalyzed Umpolung Strategy to β‑Fluoroamides via Carbamoylative Fluorination of Alkene in Aqueous Medium</v>
      </c>
      <c r="U184" s="13" t="s">
        <v>163</v>
      </c>
      <c r="V184" t="str">
        <f t="shared" si="35"/>
        <v>jo5c02084</v>
      </c>
      <c r="W184" t="str">
        <f t="shared" si="36"/>
        <v>jo5c02084_si_002.zip</v>
      </c>
      <c r="X184" t="str">
        <f t="shared" si="37"/>
        <v>https://acs.figshare.com/articles/dataset/Organophotoredox-Catalyzed_Umpolung_Strategy_to_Fluoroamides_via_Carbamoylative_Fluorination_of_Alkene_in_Aqueous_Medium/30618503</v>
      </c>
      <c r="Y184" s="1" t="str">
        <f t="shared" si="41"/>
        <v>--localSource c:/temp/acs2/data --targetDir c:/temp/acs2/$DOI$ --noDownload --readOnly  --pubDOI https://doi.org/10.1021/acs.joc.5c02084 --dataDOI "10.1021/acs.joc.5c02084https://acs.figshare.com/articles/dataset/Organophotoredox-Catalyzed_Umpolung_Strategy_to_Fluoroamides_via_Carbamoylative_Fluorination_of_Alkene_in_Aqueous_Medium/30618503"</v>
      </c>
      <c r="Z184" t="str">
        <f t="shared" si="38"/>
        <v>&lt;br&gt;&lt;a href="https://doi.org/10.1021/acs.joc.5c02084.s002"&gt;https://doi.org/10.1021/acs.joc.5c02084.s002&lt;/a&gt;</v>
      </c>
      <c r="AA184" t="str">
        <f t="shared" si="39"/>
        <v/>
      </c>
    </row>
    <row r="185" spans="1:27" x14ac:dyDescent="0.35">
      <c r="A185">
        <v>184</v>
      </c>
      <c r="B185" s="5" t="str">
        <f t="shared" si="28"/>
        <v>jo5c02091</v>
      </c>
      <c r="C185" s="1" t="str">
        <f t="shared" si="29"/>
        <v>jo5c02091</v>
      </c>
      <c r="D185">
        <f>IF(F185=1,"",IF(AND(D184="",S184=S185),"",S185-SUM(F$2:F184)))</f>
        <v>99</v>
      </c>
      <c r="E185" t="str">
        <f t="shared" si="30"/>
        <v>0</v>
      </c>
      <c r="F185">
        <v>0</v>
      </c>
      <c r="H185">
        <v>50</v>
      </c>
      <c r="I185">
        <v>100</v>
      </c>
      <c r="M185" t="str">
        <f t="shared" si="31"/>
        <v>/*99 jo5c02091 */"https://doi.org/10.1021/acs.joc.5c02091.s002",//Organophotocatalytic Regioselective Silylation/Germylation and Cascade Cyclization of 1,7-Dienes: Access to Silylated/Germylated Benzazepine Derivatives</v>
      </c>
      <c r="N185" t="e">
        <f t="shared" si="32"/>
        <v>#N/A</v>
      </c>
      <c r="O185" t="b">
        <f t="shared" si="33"/>
        <v>0</v>
      </c>
      <c r="P185" s="13" t="s">
        <v>179</v>
      </c>
      <c r="Q185" s="13" t="s">
        <v>180</v>
      </c>
      <c r="R185" t="str">
        <f t="shared" si="34"/>
        <v>002</v>
      </c>
      <c r="S185">
        <f t="shared" si="40"/>
        <v>133</v>
      </c>
      <c r="T185" s="13" t="str">
        <f>VLOOKUP(Q185,original!B:C,2,FALSE)</f>
        <v>Organophotocatalytic Regioselective Silylation/Germylation and Cascade Cyclization of 1,7-Dienes: Access to Silylated/Germylated Benzazepine Derivatives</v>
      </c>
      <c r="U185" s="13" t="s">
        <v>182</v>
      </c>
      <c r="V185" t="str">
        <f t="shared" si="35"/>
        <v>jo5c02091</v>
      </c>
      <c r="W185" t="str">
        <f t="shared" si="36"/>
        <v>jo5c02091_si_002.zip</v>
      </c>
      <c r="X185" t="str">
        <f t="shared" si="37"/>
        <v>https://acs.figshare.com/articles/dataset/Organophotocatalytic_Regioselective_Silylation_Germylation_and_Cascade_Cyclization_of_1_7-Dienes_Access_to_Silylated_Germylated_Benzazepine_Derivatives/30494711</v>
      </c>
      <c r="Y185" s="1" t="str">
        <f t="shared" si="41"/>
        <v>--localSource c:/temp/acs2/data --targetDir c:/temp/acs2/$DOI$ --noDownload --readOnly  --pubDOI https://doi.org/10.1021/acs.joc.5c02091 --dataDOI "10.1021/acs.joc.5c02091https://acs.figshare.com/articles/dataset/Organophotocatalytic_Regioselective_Silylation_Germylation_and_Cascade_Cyclization_of_1_7-Dienes_Access_to_Silylated_Germylated_Benzazepine_Derivatives/30494711"</v>
      </c>
      <c r="Z185" t="str">
        <f t="shared" si="38"/>
        <v>&lt;br&gt;&lt;a href="https://doi.org/10.1021/acs.joc.5c02091.s002"&gt;https://doi.org/10.1021/acs.joc.5c02091.s002&lt;/a&gt;</v>
      </c>
      <c r="AA185" t="str">
        <f t="shared" si="39"/>
        <v/>
      </c>
    </row>
    <row r="186" spans="1:27" x14ac:dyDescent="0.35">
      <c r="A186">
        <v>185</v>
      </c>
      <c r="B186" s="5" t="str">
        <f t="shared" si="28"/>
        <v>jo5c02110</v>
      </c>
      <c r="C186" s="1" t="str">
        <f t="shared" si="29"/>
        <v>jo5c02110</v>
      </c>
      <c r="D186">
        <f>IF(F186=1,"",IF(AND(D185="",S185=S186),"",S186-SUM(F$2:F185)))</f>
        <v>100</v>
      </c>
      <c r="E186" t="str">
        <f t="shared" si="30"/>
        <v>0</v>
      </c>
      <c r="F186">
        <v>0</v>
      </c>
      <c r="H186">
        <v>131</v>
      </c>
      <c r="I186">
        <v>136</v>
      </c>
      <c r="M186" t="str">
        <f t="shared" si="31"/>
        <v>/*100 jo5c02110 */"https://doi.org/10.1021/acs.joc.5c02110.s001",//Sequential Ni-Catalyzed Cross-Coupling and Ru-Catalyzed Isomerization of E/Z Alkenyl Ethers: A Stereoconvergent Route to Allylsilanes</v>
      </c>
      <c r="N186" t="e">
        <f t="shared" si="32"/>
        <v>#N/A</v>
      </c>
      <c r="O186" t="b">
        <f t="shared" si="33"/>
        <v>0</v>
      </c>
      <c r="P186" s="13" t="s">
        <v>22</v>
      </c>
      <c r="Q186" s="13" t="s">
        <v>23</v>
      </c>
      <c r="R186" t="str">
        <f t="shared" si="34"/>
        <v>001</v>
      </c>
      <c r="S186">
        <f t="shared" si="40"/>
        <v>134</v>
      </c>
      <c r="T186" s="13" t="str">
        <f>VLOOKUP(Q186,original!B:C,2,FALSE)</f>
        <v>Sequential Ni-Catalyzed Cross-Coupling and Ru-Catalyzed Isomerization of E/Z Alkenyl Ethers: A Stereoconvergent Route to Allylsilanes</v>
      </c>
      <c r="U186" s="13" t="s">
        <v>25</v>
      </c>
      <c r="V186" t="str">
        <f t="shared" si="35"/>
        <v>jo5c02110</v>
      </c>
      <c r="W186" t="str">
        <f t="shared" si="36"/>
        <v>jo5c02110_si_001.zip</v>
      </c>
      <c r="X186" t="str">
        <f t="shared" si="37"/>
        <v>https://acs.figshare.com/articles/dataset/Sequential_Ni-Catalyzed_Cross-Coupling_and_Ru-Catalyzed_Isomerization_of_E_Z_Alkenyl_Ethers_A_Stereoconvergent_Route_to_Allylsilanes/30962564</v>
      </c>
      <c r="Y186" s="1" t="str">
        <f t="shared" si="41"/>
        <v>--localSource c:/temp/acs2/data --targetDir c:/temp/acs2/$DOI$ --noDownload --readOnly  --pubDOI https://doi.org/10.1021/acs.joc.5c02110 --dataDOI "10.1021/acs.joc.5c02110https://acs.figshare.com/articles/dataset/Sequential_Ni-Catalyzed_Cross-Coupling_and_Ru-Catalyzed_Isomerization_of_E_Z_Alkenyl_Ethers_A_Stereoconvergent_Route_to_Allylsilanes/30962564"</v>
      </c>
      <c r="Z186" t="str">
        <f t="shared" si="38"/>
        <v>&lt;br&gt;&lt;a href="https://doi.org/10.1021/acs.joc.5c02110.s001"&gt;https://doi.org/10.1021/acs.joc.5c02110.s001&lt;/a&gt;</v>
      </c>
      <c r="AA186" t="str">
        <f t="shared" si="39"/>
        <v/>
      </c>
    </row>
    <row r="187" spans="1:27" x14ac:dyDescent="0.35">
      <c r="A187">
        <v>186</v>
      </c>
      <c r="B187" s="5" t="str">
        <f t="shared" si="28"/>
        <v>jo5c02123</v>
      </c>
      <c r="C187" s="1" t="str">
        <f t="shared" si="29"/>
        <v xml:space="preserve">#jo5c02123 </v>
      </c>
      <c r="D187" t="str">
        <f>IF(F187=1,"",IF(AND(D186="",S186=S187),"",S187-SUM(F$2:F186)))</f>
        <v/>
      </c>
      <c r="E187" t="str">
        <f t="shared" si="30"/>
        <v>0</v>
      </c>
      <c r="F187">
        <v>1</v>
      </c>
      <c r="M187" t="str">
        <f t="shared" si="31"/>
        <v/>
      </c>
      <c r="N187" t="str">
        <f t="shared" si="32"/>
        <v>jo5c02123_si_002.xyz</v>
      </c>
      <c r="O187" t="b">
        <f t="shared" si="33"/>
        <v>1</v>
      </c>
      <c r="P187" s="13" t="s">
        <v>148</v>
      </c>
      <c r="Q187" s="13" t="s">
        <v>149</v>
      </c>
      <c r="R187" t="str">
        <f t="shared" si="34"/>
        <v>002</v>
      </c>
      <c r="S187">
        <f t="shared" si="40"/>
        <v>135</v>
      </c>
      <c r="T187" s="13" t="str">
        <f>VLOOKUP(Q187,original!B:C,2,FALSE)</f>
        <v>Nickel-Catalyzed Substitution of Allylic Ethers and Acetals with Organoboroxines in the Presence of Pyrimidine</v>
      </c>
      <c r="U187" s="13" t="s">
        <v>151</v>
      </c>
      <c r="V187" t="str">
        <f t="shared" si="35"/>
        <v>jo5c02123</v>
      </c>
      <c r="W187" t="str">
        <f t="shared" si="36"/>
        <v>jo5c02123_si_002.zip</v>
      </c>
      <c r="X187" t="str">
        <f t="shared" si="37"/>
        <v>https://acs.figshare.com/articles/dataset/Nickel-Catalyzed_Substitution_of_Allylic_Ethers_and_Acetals_with_Organoboroxines_in_the_Presence_of_Pyrimidine/30639496</v>
      </c>
      <c r="Y187" s="1" t="str">
        <f t="shared" si="41"/>
        <v>--localSource c:/temp/acs2/data --targetDir c:/temp/acs2/$DOI$ --noDownload --readOnly  --pubDOI https://doi.org/10.1021/acs.joc.5c02123 --dataDOI "10.1021/acs.joc.5c02123https://acs.figshare.com/articles/dataset/Nickel-Catalyzed_Substitution_of_Allylic_Ethers_and_Acetals_with_Organoboroxines_in_the_Presence_of_Pyrimidine/30639496"</v>
      </c>
      <c r="Z187" t="str">
        <f t="shared" si="38"/>
        <v>&lt;br&gt;&lt;a href="https://doi.org/10.1021/acs.joc.5c02123.s002"&gt;https://doi.org/10.1021/acs.joc.5c02123.s002&lt;/a&gt;</v>
      </c>
      <c r="AA187" t="str">
        <f t="shared" si="39"/>
        <v/>
      </c>
    </row>
    <row r="188" spans="1:27" x14ac:dyDescent="0.35">
      <c r="A188">
        <v>187</v>
      </c>
      <c r="B188" s="5" t="str">
        <f t="shared" si="28"/>
        <v>jo5c02152</v>
      </c>
      <c r="C188" s="1" t="str">
        <f t="shared" si="29"/>
        <v/>
      </c>
      <c r="D188">
        <f>IF(F188=1,"",IF(AND(D187="",S187=S188),"",S188-SUM(F$2:F187)))</f>
        <v>101</v>
      </c>
      <c r="E188" t="str">
        <f t="shared" si="30"/>
        <v>0</v>
      </c>
      <c r="F188">
        <v>0</v>
      </c>
      <c r="M188" t="str">
        <f t="shared" si="31"/>
        <v>/*101 jo5c02152 */"https://doi.org/10.1021/acs.joc.5c02152.s001",//Fe-BPsalan Complex-Catalyzed Asymmetric 1,3-Dipolar [3 + 2] Cycloaddition of Nitrones with α,β-Unsaturated Acyl Imidazoles</v>
      </c>
      <c r="N188" t="e">
        <f t="shared" si="32"/>
        <v>#N/A</v>
      </c>
      <c r="O188" t="b">
        <f t="shared" si="33"/>
        <v>0</v>
      </c>
      <c r="P188" s="13" t="s">
        <v>5</v>
      </c>
      <c r="Q188" s="13" t="s">
        <v>6</v>
      </c>
      <c r="R188" t="str">
        <f t="shared" si="34"/>
        <v>001</v>
      </c>
      <c r="S188">
        <f t="shared" si="40"/>
        <v>136</v>
      </c>
      <c r="T188" s="13" t="str">
        <f>VLOOKUP(Q188,original!B:C,2,FALSE)</f>
        <v>Fe-BPsalan Complex-Catalyzed Asymmetric 1,3-Dipolar [3 + 2] Cycloaddition of Nitrones with α,β-Unsaturated Acyl Imidazoles</v>
      </c>
      <c r="U188" s="13" t="s">
        <v>4</v>
      </c>
      <c r="V188" t="str">
        <f t="shared" si="35"/>
        <v>jo5c02152</v>
      </c>
      <c r="W188" t="str">
        <f t="shared" si="36"/>
        <v>jo5c02152_si_001.zip</v>
      </c>
      <c r="X188" t="str">
        <f t="shared" si="37"/>
        <v>https://acs.figshare.com/articles/dataset/Fe-BPsalan_Complex-Catalyzed_Asymmetric_1_3-Dipolar_3_2_Cycloaddition_of_Nitrones_with_-Unsaturated_Acyl_Imidazoles/30978804</v>
      </c>
      <c r="Y188" s="1" t="str">
        <f t="shared" si="41"/>
        <v/>
      </c>
      <c r="Z188" t="str">
        <f t="shared" si="38"/>
        <v>&lt;br&gt;&lt;a href="https://doi.org/10.1021/acs.joc.5c02152.s001"&gt;https://doi.org/10.1021/acs.joc.5c02152.s001&lt;/a&gt;</v>
      </c>
      <c r="AA188" t="str">
        <f t="shared" si="39"/>
        <v/>
      </c>
    </row>
    <row r="189" spans="1:27" x14ac:dyDescent="0.35">
      <c r="A189">
        <v>188</v>
      </c>
      <c r="B189" s="5" t="str">
        <f t="shared" si="28"/>
        <v>jo5c02152</v>
      </c>
      <c r="C189" s="1" t="str">
        <f t="shared" si="29"/>
        <v>jo5c02152</v>
      </c>
      <c r="D189">
        <f>IF(F189=1,"",IF(AND(D188="",S188=S189),"",S189-SUM(F$2:F188)))</f>
        <v>101</v>
      </c>
      <c r="E189" t="str">
        <f t="shared" si="30"/>
        <v>1</v>
      </c>
      <c r="F189">
        <v>0</v>
      </c>
      <c r="H189">
        <v>97</v>
      </c>
      <c r="I189">
        <v>127</v>
      </c>
      <c r="M189" t="str">
        <f t="shared" si="31"/>
        <v>/*101 jo5c02152 */"https://doi.org/10.1021/acs.joc.5c02152.s002",//Fe-BPsalan Complex-Catalyzed Asymmetric 1,3-Dipolar [3 + 2] Cycloaddition of Nitrones with α,β-Unsaturated Acyl Imidazoles</v>
      </c>
      <c r="N189" t="e">
        <f t="shared" si="32"/>
        <v>#N/A</v>
      </c>
      <c r="O189" t="b">
        <f t="shared" si="33"/>
        <v>0</v>
      </c>
      <c r="P189" s="13" t="s">
        <v>2</v>
      </c>
      <c r="Q189" s="14" t="s">
        <v>3</v>
      </c>
      <c r="R189" t="str">
        <f t="shared" si="34"/>
        <v>002</v>
      </c>
      <c r="S189">
        <f t="shared" si="40"/>
        <v>136</v>
      </c>
      <c r="T189" s="13" t="str">
        <f>VLOOKUP(Q189,original!B:C,2,FALSE)</f>
        <v>Fe-BPsalan Complex-Catalyzed Asymmetric 1,3-Dipolar [3 + 2] Cycloaddition of Nitrones with α,β-Unsaturated Acyl Imidazoles</v>
      </c>
      <c r="U189" s="13" t="s">
        <v>4</v>
      </c>
      <c r="V189" t="str">
        <f t="shared" si="35"/>
        <v>jo5c02152</v>
      </c>
      <c r="W189" t="str">
        <f t="shared" si="36"/>
        <v>jo5c02152_si_002.zip</v>
      </c>
      <c r="X189" t="str">
        <f t="shared" si="37"/>
        <v>https://acs.figshare.com/articles/dataset/Fe-BPsalan_Complex-Catalyzed_Asymmetric_1_3-Dipolar_3_2_Cycloaddition_of_Nitrones_with_-Unsaturated_Acyl_Imidazoles/30978804\thttps://acs.figshare.com/articles/dataset/Fe-BPsalan_Complex-Catalyzed_Asymmetric_1_3-Dipolar_3_2_Cycloaddition_of_Nitrones_with_-Unsaturated_Acyl_Imidazoles/30978807</v>
      </c>
      <c r="Y189" s="1" t="str">
        <f t="shared" si="41"/>
        <v>--localSource c:/temp/acs2/data --targetDir c:/temp/acs2/$DOI$ --noDownload --readOnly  --pubDOI https://doi.org/10.1021/acs.joc.5c02152 --dataDOI "10.1021/acs.joc.5c02152https://acs.figshare.com/articles/dataset/Fe-BPsalan_Complex-Catalyzed_Asymmetric_1_3-Dipolar_3_2_Cycloaddition_of_Nitrones_with_-Unsaturated_Acyl_Imidazoles/30978804\thttps://acs.figshare.com/articles/dataset/Fe-BPsalan_Complex-Catalyzed_Asymmetric_1_3-Dipolar_3_2_Cycloaddition_of_Nitrones_with_-Unsaturated_Acyl_Imidazoles/30978807"</v>
      </c>
      <c r="Z189" t="str">
        <f t="shared" si="38"/>
        <v>&lt;br&gt;&lt;a href="https://doi.org/10.1021/acs.joc.5c02152.s002"&gt;https://doi.org/10.1021/acs.joc.5c02152.s002&lt;/a&gt;</v>
      </c>
      <c r="AA189" t="str">
        <f t="shared" si="39"/>
        <v/>
      </c>
    </row>
    <row r="190" spans="1:27" x14ac:dyDescent="0.35">
      <c r="A190">
        <v>189</v>
      </c>
      <c r="B190" s="5" t="str">
        <f t="shared" si="28"/>
        <v>jo5c02154</v>
      </c>
      <c r="C190" s="1" t="str">
        <f t="shared" si="29"/>
        <v>jo5c02154</v>
      </c>
      <c r="D190">
        <f>IF(F190=1,"",IF(AND(D189="",S189=S190),"",S190-SUM(F$2:F189)))</f>
        <v>102</v>
      </c>
      <c r="E190" t="str">
        <f t="shared" si="30"/>
        <v>0</v>
      </c>
      <c r="F190">
        <v>0</v>
      </c>
      <c r="H190">
        <v>324</v>
      </c>
      <c r="I190">
        <v>163</v>
      </c>
      <c r="M190" t="str">
        <f t="shared" si="31"/>
        <v>/*102 jo5c02154 */"https://doi.org/10.1021/acs.joc.5c02154.s002",//Steric Hindrance-Driven Access to 3,4,7-Trihydro-1,2-oxaphosphepine 2‑Oxides from Vinyloxiranes and Phosphoryl Diazomethanes</v>
      </c>
      <c r="N190" t="e">
        <f t="shared" si="32"/>
        <v>#N/A</v>
      </c>
      <c r="O190" t="b">
        <f t="shared" si="33"/>
        <v>0</v>
      </c>
      <c r="P190" s="13" t="s">
        <v>186</v>
      </c>
      <c r="Q190" s="13" t="s">
        <v>187</v>
      </c>
      <c r="R190" t="str">
        <f t="shared" si="34"/>
        <v>002</v>
      </c>
      <c r="S190">
        <f t="shared" si="40"/>
        <v>137</v>
      </c>
      <c r="T190" s="13" t="str">
        <f>VLOOKUP(Q190,original!B:C,2,FALSE)</f>
        <v>Steric Hindrance-Driven Access to 3,4,7-Trihydro-1,2-oxaphosphepine 2‑Oxides from Vinyloxiranes and Phosphoryl Diazomethanes</v>
      </c>
      <c r="U190" s="13" t="s">
        <v>188</v>
      </c>
      <c r="V190" t="str">
        <f t="shared" si="35"/>
        <v>jo5c02154</v>
      </c>
      <c r="W190" t="str">
        <f t="shared" si="36"/>
        <v>jo5c02154_si_002.zip</v>
      </c>
      <c r="X190" t="str">
        <f t="shared" si="37"/>
        <v>https://acs.figshare.com/articles/dataset/Steric_Hindrance-Driven_Access_to_3_4_7-Trihydro-1_2-oxaphosphepine_2_Oxides_from_Vinyloxiranes_and_Phosphoryl_Diazomethanes/30417379</v>
      </c>
      <c r="Y190" s="1" t="str">
        <f t="shared" si="41"/>
        <v>--localSource c:/temp/acs2/data --targetDir c:/temp/acs2/$DOI$ --noDownload --readOnly  --pubDOI https://doi.org/10.1021/acs.joc.5c02154 --dataDOI "10.1021/acs.joc.5c02154https://acs.figshare.com/articles/dataset/Steric_Hindrance-Driven_Access_to_3_4_7-Trihydro-1_2-oxaphosphepine_2_Oxides_from_Vinyloxiranes_and_Phosphoryl_Diazomethanes/30417379"</v>
      </c>
      <c r="Z190" t="str">
        <f t="shared" si="38"/>
        <v>&lt;br&gt;&lt;a href="https://doi.org/10.1021/acs.joc.5c02154.s002"&gt;https://doi.org/10.1021/acs.joc.5c02154.s002&lt;/a&gt;</v>
      </c>
      <c r="AA190" t="str">
        <f t="shared" si="39"/>
        <v/>
      </c>
    </row>
    <row r="191" spans="1:27" x14ac:dyDescent="0.35">
      <c r="A191">
        <v>190</v>
      </c>
      <c r="B191" s="5" t="str">
        <f t="shared" si="28"/>
        <v>jo5c02221</v>
      </c>
      <c r="C191" s="1" t="str">
        <f t="shared" si="29"/>
        <v/>
      </c>
      <c r="D191">
        <f>IF(F191=1,"",IF(AND(D190="",S190=S191),"",S191-SUM(F$2:F190)))</f>
        <v>103</v>
      </c>
      <c r="E191" t="str">
        <f t="shared" si="30"/>
        <v>0</v>
      </c>
      <c r="F191">
        <v>0</v>
      </c>
      <c r="M191" t="str">
        <f t="shared" si="31"/>
        <v>/*103 jo5c02221 */"https://doi.org/10.1021/acs.joc.5c02221.s002",//Palladium-Catalyzed [3 + 2] Annulation of o‑Bromobenzyl Cyanide with Norbornene Derivatives via C(sp3)–H Bond Activation to Yield 1‑Cyanoindane</v>
      </c>
      <c r="N191" t="e">
        <f t="shared" si="32"/>
        <v>#N/A</v>
      </c>
      <c r="O191" t="b">
        <f t="shared" si="33"/>
        <v>0</v>
      </c>
      <c r="P191" s="13" t="s">
        <v>20</v>
      </c>
      <c r="Q191" s="13" t="s">
        <v>21</v>
      </c>
      <c r="R191" t="str">
        <f t="shared" si="34"/>
        <v>002</v>
      </c>
      <c r="S191">
        <f t="shared" si="40"/>
        <v>138</v>
      </c>
      <c r="T191" s="13" t="str">
        <f>VLOOKUP(Q191,original!B:C,2,FALSE)</f>
        <v>Palladium-Catalyzed [3 + 2] Annulation of o‑Bromobenzyl Cyanide with Norbornene Derivatives via C(sp3)–H Bond Activation to Yield 1‑Cyanoindane</v>
      </c>
      <c r="U191" s="13" t="s">
        <v>13</v>
      </c>
      <c r="V191" t="str">
        <f t="shared" si="35"/>
        <v>jo5c02221</v>
      </c>
      <c r="W191" t="str">
        <f t="shared" si="36"/>
        <v>jo5c02221_si_002.zip</v>
      </c>
      <c r="X191" t="str">
        <f t="shared" si="37"/>
        <v>https://acs.figshare.com/articles/dataset/Palladium-Catalyzed_3_2_Annulation_of_o_Bromobenzyl_Cyanide_with_Norbornene_Derivatives_via_C_sp_sup_3_sup_H_Bond_Activation_to_Yield_1_Cyanoindane/30969064</v>
      </c>
      <c r="Y191" s="1" t="str">
        <f t="shared" si="41"/>
        <v/>
      </c>
      <c r="Z191" t="str">
        <f t="shared" si="38"/>
        <v>&lt;br&gt;&lt;a href="https://doi.org/10.1021/acs.joc.5c02221.s002"&gt;https://doi.org/10.1021/acs.joc.5c02221.s002&lt;/a&gt;</v>
      </c>
      <c r="AA191" t="str">
        <f t="shared" si="39"/>
        <v/>
      </c>
    </row>
    <row r="192" spans="1:27" x14ac:dyDescent="0.35">
      <c r="A192">
        <v>191</v>
      </c>
      <c r="B192" s="5" t="str">
        <f t="shared" si="28"/>
        <v>jo5c02221</v>
      </c>
      <c r="C192" s="1" t="str">
        <f t="shared" si="29"/>
        <v/>
      </c>
      <c r="D192">
        <f>IF(F192=1,"",IF(AND(D191="",S191=S192),"",S192-SUM(F$2:F191)))</f>
        <v>103</v>
      </c>
      <c r="E192" t="str">
        <f t="shared" si="30"/>
        <v>1</v>
      </c>
      <c r="F192">
        <v>0</v>
      </c>
      <c r="M192" t="str">
        <f t="shared" si="31"/>
        <v>/*103 jo5c02221 */"https://doi.org/10.1021/acs.joc.5c02221.s003",//Palladium-Catalyzed [3 + 2] Annulation of o‑Bromobenzyl Cyanide with Norbornene Derivatives via C(sp3)–H Bond Activation to Yield 1‑Cyanoindane</v>
      </c>
      <c r="N192" t="e">
        <f t="shared" si="32"/>
        <v>#N/A</v>
      </c>
      <c r="O192" t="b">
        <f t="shared" si="33"/>
        <v>0</v>
      </c>
      <c r="P192" s="13" t="s">
        <v>18</v>
      </c>
      <c r="Q192" s="13" t="s">
        <v>19</v>
      </c>
      <c r="R192" t="str">
        <f t="shared" si="34"/>
        <v>003</v>
      </c>
      <c r="S192">
        <f t="shared" si="40"/>
        <v>138</v>
      </c>
      <c r="T192" s="13" t="str">
        <f>VLOOKUP(Q192,original!B:C,2,FALSE)</f>
        <v>Palladium-Catalyzed [3 + 2] Annulation of o‑Bromobenzyl Cyanide with Norbornene Derivatives via C(sp3)–H Bond Activation to Yield 1‑Cyanoindane</v>
      </c>
      <c r="U192" s="13" t="s">
        <v>13</v>
      </c>
      <c r="V192" t="str">
        <f t="shared" si="35"/>
        <v>jo5c02221</v>
      </c>
      <c r="W192" t="str">
        <f t="shared" si="36"/>
        <v>jo5c02221_si_003.zip</v>
      </c>
      <c r="X192" t="str">
        <f t="shared" si="37"/>
        <v>https://acs.figshare.com/articles/dataset/Palladium-Catalyzed_3_2_Annulation_of_o_Bromobenzyl_Cyanide_with_Norbornene_Derivatives_via_C_sp_sup_3_sup_H_Bond_Activation_to_Yield_1_Cyanoindane/30969064\thttps://acs.figshare.com/articles/dataset/Palladium-Catalyzed_3_2_Annulation_of_o_Bromobenzyl_Cyanide_with_Norbornene_Derivatives_via_C_sp_sup_3_sup_H_Bond_Activation_to_Yield_1_Cyanoindane/30969067</v>
      </c>
      <c r="Y192" s="1" t="str">
        <f t="shared" si="41"/>
        <v/>
      </c>
      <c r="Z192" t="str">
        <f t="shared" si="38"/>
        <v>&lt;br&gt;&lt;a href="https://doi.org/10.1021/acs.joc.5c02221.s003"&gt;https://doi.org/10.1021/acs.joc.5c02221.s003&lt;/a&gt;</v>
      </c>
      <c r="AA192" t="str">
        <f t="shared" si="39"/>
        <v/>
      </c>
    </row>
    <row r="193" spans="1:27" x14ac:dyDescent="0.35">
      <c r="A193">
        <v>192</v>
      </c>
      <c r="B193" s="5" t="str">
        <f t="shared" si="28"/>
        <v>jo5c02221</v>
      </c>
      <c r="C193" s="1" t="str">
        <f t="shared" si="29"/>
        <v/>
      </c>
      <c r="D193">
        <f>IF(F193=1,"",IF(AND(D192="",S192=S193),"",S193-SUM(F$2:F192)))</f>
        <v>103</v>
      </c>
      <c r="E193" t="str">
        <f t="shared" si="30"/>
        <v>1</v>
      </c>
      <c r="F193">
        <v>0</v>
      </c>
      <c r="M193" t="str">
        <f t="shared" si="31"/>
        <v>/*103 jo5c02221 */"https://doi.org/10.1021/acs.joc.5c02221.s004",//Palladium-Catalyzed [3 + 2] Annulation of o‑Bromobenzyl Cyanide with Norbornene Derivatives via C(sp3)–H Bond Activation to Yield 1‑Cyanoindane</v>
      </c>
      <c r="N193" t="e">
        <f t="shared" si="32"/>
        <v>#N/A</v>
      </c>
      <c r="O193" t="b">
        <f t="shared" si="33"/>
        <v>0</v>
      </c>
      <c r="P193" s="13" t="s">
        <v>16</v>
      </c>
      <c r="Q193" s="13" t="s">
        <v>17</v>
      </c>
      <c r="R193" t="str">
        <f t="shared" si="34"/>
        <v>004</v>
      </c>
      <c r="S193">
        <f t="shared" si="40"/>
        <v>138</v>
      </c>
      <c r="T193" s="13" t="str">
        <f>VLOOKUP(Q193,original!B:C,2,FALSE)</f>
        <v>Palladium-Catalyzed [3 + 2] Annulation of o‑Bromobenzyl Cyanide with Norbornene Derivatives via C(sp3)–H Bond Activation to Yield 1‑Cyanoindane</v>
      </c>
      <c r="U193" s="13" t="s">
        <v>13</v>
      </c>
      <c r="V193" t="str">
        <f t="shared" si="35"/>
        <v>jo5c02221</v>
      </c>
      <c r="W193" t="str">
        <f t="shared" si="36"/>
        <v>jo5c02221_si_004.zip</v>
      </c>
      <c r="X193" t="str">
        <f t="shared" si="37"/>
        <v>https://acs.figshare.com/articles/dataset/Palladium-Catalyzed_3_2_Annulation_of_o_Bromobenzyl_Cyanide_with_Norbornene_Derivatives_via_C_sp_sup_3_sup_H_Bond_Activation_to_Yield_1_Cyanoindane/30969064\thttps://acs.figshare.com/articles/dataset/Palladium-Catalyzed_3_2_Annulation_of_o_Bromobenzyl_Cyanide_with_Norbornene_Derivatives_via_C_sp_sup_3_sup_H_Bond_Activation_to_Yield_1_Cyanoindane/30969067\thttps://acs.figshare.com/articles/dataset/Palladium-Catalyzed_3_2_Annulation_of_o_Bromobenzyl_Cyanide_with_Norbornene_Derivatives_via_C_sp_sup_3_sup_H_Bond_Activation_to_Yield_1_Cyanoindane/30969070</v>
      </c>
      <c r="Y193" s="1" t="str">
        <f t="shared" si="41"/>
        <v/>
      </c>
      <c r="Z193" t="str">
        <f t="shared" si="38"/>
        <v>&lt;br&gt;&lt;a href="https://doi.org/10.1021/acs.joc.5c02221.s004"&gt;https://doi.org/10.1021/acs.joc.5c02221.s004&lt;/a&gt;</v>
      </c>
      <c r="AA193" t="str">
        <f t="shared" si="39"/>
        <v/>
      </c>
    </row>
    <row r="194" spans="1:27" x14ac:dyDescent="0.35">
      <c r="A194">
        <v>193</v>
      </c>
      <c r="B194" s="5" t="str">
        <f t="shared" ref="B194:B257" si="42">V194</f>
        <v>jo5c02221</v>
      </c>
      <c r="C194" s="1" t="str">
        <f t="shared" ref="C194:C257" si="43">IF(Y194="","",IF(OR(O194,F194=1,M194=""),"#"&amp;B194 &amp;" "&amp;G194,B194&amp;IF(G194="",""," # " &amp;G194)))</f>
        <v/>
      </c>
      <c r="D194">
        <f>IF(F194=1,"",IF(AND(D193="",S193=S194),"",S194-SUM(F$2:F193)))</f>
        <v>103</v>
      </c>
      <c r="E194" t="str">
        <f t="shared" ref="E194:E257" si="44">IF(B194=B193,"1","0")</f>
        <v>1</v>
      </c>
      <c r="F194">
        <v>0</v>
      </c>
      <c r="M194" t="str">
        <f t="shared" ref="M194:M257" si="45">IF(OR(O194,D194=""),"","/*"&amp;D194&amp;" " &amp; B194 &amp;" */"""&amp;Q194&amp;""",//"&amp;T194)</f>
        <v>/*103 jo5c02221 */"https://doi.org/10.1021/acs.joc.5c02221.s005",//Palladium-Catalyzed [3 + 2] Annulation of o‑Bromobenzyl Cyanide with Norbornene Derivatives via C(sp3)–H Bond Activation to Yield 1‑Cyanoindane</v>
      </c>
      <c r="N194" t="e">
        <f t="shared" ref="N194:N257" si="46">VLOOKUP(W194,AA:AB,2,FALSE)</f>
        <v>#N/A</v>
      </c>
      <c r="O194" t="b">
        <f t="shared" ref="O194:O257" si="47">NOT(ISNA(VLOOKUP(W194,AA:AA,1,FALSE)))</f>
        <v>0</v>
      </c>
      <c r="P194" s="13" t="s">
        <v>14</v>
      </c>
      <c r="Q194" s="13" t="s">
        <v>15</v>
      </c>
      <c r="R194" t="str">
        <f t="shared" ref="R194:R257" si="48">MID(Q194,LEN(Q194)-2,4)</f>
        <v>005</v>
      </c>
      <c r="S194">
        <f t="shared" si="40"/>
        <v>138</v>
      </c>
      <c r="T194" s="13" t="str">
        <f>VLOOKUP(Q194,original!B:C,2,FALSE)</f>
        <v>Palladium-Catalyzed [3 + 2] Annulation of o‑Bromobenzyl Cyanide with Norbornene Derivatives via C(sp3)–H Bond Activation to Yield 1‑Cyanoindane</v>
      </c>
      <c r="U194" s="13" t="s">
        <v>13</v>
      </c>
      <c r="V194" t="str">
        <f t="shared" ref="V194:V257" si="49">SUBSTITUTE(SUBSTITUTE(MID(U194,LEN(U194)-8,100),"c.","jo"),"t.","ol")</f>
        <v>jo5c02221</v>
      </c>
      <c r="W194" t="str">
        <f t="shared" ref="W194:W257" si="50">B194&amp;"_si_"&amp;R194&amp;".zip"</f>
        <v>jo5c02221_si_005.zip</v>
      </c>
      <c r="X194" t="str">
        <f t="shared" ref="X194:X257" si="51">IF(U194&lt;&gt;U193,P194,X193&amp;"\t"&amp;P194)</f>
        <v>https://acs.figshare.com/articles/dataset/Palladium-Catalyzed_3_2_Annulation_of_o_Bromobenzyl_Cyanide_with_Norbornene_Derivatives_via_C_sp_sup_3_sup_H_Bond_Activation_to_Yield_1_Cyanoindane/30969064\thttps://acs.figshare.com/articles/dataset/Palladium-Catalyzed_3_2_Annulation_of_o_Bromobenzyl_Cyanide_with_Norbornene_Derivatives_via_C_sp_sup_3_sup_H_Bond_Activation_to_Yield_1_Cyanoindane/30969067\thttps://acs.figshare.com/articles/dataset/Palladium-Catalyzed_3_2_Annulation_of_o_Bromobenzyl_Cyanide_with_Norbornene_Derivatives_via_C_sp_sup_3_sup_H_Bond_Activation_to_Yield_1_Cyanoindane/30969070\thttps://acs.figshare.com/articles/dataset/Palladium-Catalyzed_3_2_Annulation_of_o_Bromobenzyl_Cyanide_with_Norbornene_Derivatives_via_C_sp_sup_3_sup_H_Bond_Activation_to_Yield_1_Cyanoindane/30969073</v>
      </c>
      <c r="Y194" s="1" t="str">
        <f t="shared" si="41"/>
        <v/>
      </c>
      <c r="Z194" t="str">
        <f t="shared" ref="Z194:Z257" si="52">"&lt;br&gt;&lt;a href="""&amp;Q194&amp;"""&gt;"&amp;Q194&amp;"&lt;/a&gt;"</f>
        <v>&lt;br&gt;&lt;a href="https://doi.org/10.1021/acs.joc.5c02221.s005"&gt;https://doi.org/10.1021/acs.joc.5c02221.s005&lt;/a&gt;</v>
      </c>
      <c r="AA194" t="str">
        <f t="shared" ref="AA194:AA257" si="53">IF(AB194="","",MID(AB194,1,LEN(AB194)-4)&amp;".zip")</f>
        <v/>
      </c>
    </row>
    <row r="195" spans="1:27" x14ac:dyDescent="0.35">
      <c r="A195">
        <v>194</v>
      </c>
      <c r="B195" s="5" t="str">
        <f t="shared" si="42"/>
        <v>jo5c02221</v>
      </c>
      <c r="C195" s="1" t="str">
        <f t="shared" si="43"/>
        <v>jo5c02221</v>
      </c>
      <c r="D195">
        <f>IF(F195=1,"",IF(AND(D194="",S194=S195),"",S195-SUM(F$2:F194)))</f>
        <v>103</v>
      </c>
      <c r="E195" t="str">
        <f t="shared" si="44"/>
        <v>1</v>
      </c>
      <c r="F195">
        <v>0</v>
      </c>
      <c r="H195">
        <v>5</v>
      </c>
      <c r="I195">
        <v>88</v>
      </c>
      <c r="M195" t="str">
        <f t="shared" si="45"/>
        <v>/*103 jo5c02221 */"https://doi.org/10.1021/acs.joc.5c02221.s006",//Palladium-Catalyzed [3 + 2] Annulation of o‑Bromobenzyl Cyanide with Norbornene Derivatives via C(sp3)–H Bond Activation to Yield 1‑Cyanoindane</v>
      </c>
      <c r="N195" t="e">
        <f t="shared" si="46"/>
        <v>#N/A</v>
      </c>
      <c r="O195" t="b">
        <f t="shared" si="47"/>
        <v>0</v>
      </c>
      <c r="P195" s="13" t="s">
        <v>11</v>
      </c>
      <c r="Q195" s="13" t="s">
        <v>12</v>
      </c>
      <c r="R195" t="str">
        <f t="shared" si="48"/>
        <v>006</v>
      </c>
      <c r="S195">
        <f t="shared" ref="S195:S258" si="54">IF(U195=U194,S194,S194+1)</f>
        <v>138</v>
      </c>
      <c r="T195" s="13" t="str">
        <f>VLOOKUP(Q195,original!B:C,2,FALSE)</f>
        <v>Palladium-Catalyzed [3 + 2] Annulation of o‑Bromobenzyl Cyanide with Norbornene Derivatives via C(sp3)–H Bond Activation to Yield 1‑Cyanoindane</v>
      </c>
      <c r="U195" s="13" t="s">
        <v>13</v>
      </c>
      <c r="V195" t="str">
        <f t="shared" si="49"/>
        <v>jo5c02221</v>
      </c>
      <c r="W195" t="str">
        <f t="shared" si="50"/>
        <v>jo5c02221_si_006.zip</v>
      </c>
      <c r="X195" t="str">
        <f t="shared" si="51"/>
        <v>https://acs.figshare.com/articles/dataset/Palladium-Catalyzed_3_2_Annulation_of_o_Bromobenzyl_Cyanide_with_Norbornene_Derivatives_via_C_sp_sup_3_sup_H_Bond_Activation_to_Yield_1_Cyanoindane/30969064\thttps://acs.figshare.com/articles/dataset/Palladium-Catalyzed_3_2_Annulation_of_o_Bromobenzyl_Cyanide_with_Norbornene_Derivatives_via_C_sp_sup_3_sup_H_Bond_Activation_to_Yield_1_Cyanoindane/30969067\thttps://acs.figshare.com/articles/dataset/Palladium-Catalyzed_3_2_Annulation_of_o_Bromobenzyl_Cyanide_with_Norbornene_Derivatives_via_C_sp_sup_3_sup_H_Bond_Activation_to_Yield_1_Cyanoindane/30969070\thttps://acs.figshare.com/articles/dataset/Palladium-Catalyzed_3_2_Annulation_of_o_Bromobenzyl_Cyanide_with_Norbornene_Derivatives_via_C_sp_sup_3_sup_H_Bond_Activation_to_Yield_1_Cyanoindane/30969073\thttps://acs.figshare.com/articles/dataset/Palladium-Catalyzed_3_2_Annulation_of_o_Bromobenzyl_Cyanide_with_Norbornene_Derivatives_via_C_sp_sup_3_sup_H_Bond_Activation_to_Yield_1_Cyanoindane/30969076</v>
      </c>
      <c r="Y195" s="1" t="str">
        <f t="shared" ref="Y195:Y258" si="55">IF(U195&lt;&gt;U196,$Y$1&amp;" --pubDOI "&amp; U195&amp;" --dataDOI """&amp;SUBSTITUTE(U195&amp;X195&amp;"""","https://doi.org/",""),"")</f>
        <v>--localSource c:/temp/acs2/data --targetDir c:/temp/acs2/$DOI$ --noDownload --readOnly  --pubDOI https://doi.org/10.1021/acs.joc.5c02221 --dataDOI "10.1021/acs.joc.5c02221https://acs.figshare.com/articles/dataset/Palladium-Catalyzed_3_2_Annulation_of_o_Bromobenzyl_Cyanide_with_Norbornene_Derivatives_via_C_sp_sup_3_sup_H_Bond_Activation_to_Yield_1_Cyanoindane/30969064\thttps://acs.figshare.com/articles/dataset/Palladium-Catalyzed_3_2_Annulation_of_o_Bromobenzyl_Cyanide_with_Norbornene_Derivatives_via_C_sp_sup_3_sup_H_Bond_Activation_to_Yield_1_Cyanoindane/30969067\thttps://acs.figshare.com/articles/dataset/Palladium-Catalyzed_3_2_Annulation_of_o_Bromobenzyl_Cyanide_with_Norbornene_Derivatives_via_C_sp_sup_3_sup_H_Bond_Activation_to_Yield_1_Cyanoindane/30969070\thttps://acs.figshare.com/articles/dataset/Palladium-Catalyzed_3_2_Annulation_of_o_Bromobenzyl_Cyanide_with_Norbornene_Derivatives_via_C_sp_sup_3_sup_H_Bond_Activation_to_Yield_1_Cyanoindane/30969073\thttps://acs.figshare.com/articles/dataset/Palladium-Catalyzed_3_2_Annulation_of_o_Bromobenzyl_Cyanide_with_Norbornene_Derivatives_via_C_sp_sup_3_sup_H_Bond_Activation_to_Yield_1_Cyanoindane/30969076"</v>
      </c>
      <c r="Z195" t="str">
        <f t="shared" si="52"/>
        <v>&lt;br&gt;&lt;a href="https://doi.org/10.1021/acs.joc.5c02221.s006"&gt;https://doi.org/10.1021/acs.joc.5c02221.s006&lt;/a&gt;</v>
      </c>
      <c r="AA195" t="str">
        <f t="shared" si="53"/>
        <v/>
      </c>
    </row>
    <row r="196" spans="1:27" x14ac:dyDescent="0.35">
      <c r="A196">
        <v>195</v>
      </c>
      <c r="B196" s="5" t="str">
        <f t="shared" si="42"/>
        <v>jo5c02305</v>
      </c>
      <c r="C196" s="1" t="str">
        <f t="shared" si="43"/>
        <v>jo5c02305</v>
      </c>
      <c r="D196">
        <f>IF(F196=1,"",IF(AND(D195="",S195=S196),"",S196-SUM(F$2:F195)))</f>
        <v>104</v>
      </c>
      <c r="E196" t="str">
        <f t="shared" si="44"/>
        <v>0</v>
      </c>
      <c r="F196">
        <v>0</v>
      </c>
      <c r="H196">
        <v>45</v>
      </c>
      <c r="I196">
        <v>90</v>
      </c>
      <c r="J196">
        <v>16</v>
      </c>
      <c r="M196" t="str">
        <f t="shared" si="45"/>
        <v>/*104 jo5c02305 */"https://doi.org/10.1021/acs.joc.5c02305.s002",//Palladium-Catalyzed Denitrogenative Suzuki Coupling of Benzothiatriazine Dioxides for Bi(hetero)aryl-2-sulfonamides</v>
      </c>
      <c r="N196" t="e">
        <f t="shared" si="46"/>
        <v>#N/A</v>
      </c>
      <c r="O196" t="b">
        <f t="shared" si="47"/>
        <v>0</v>
      </c>
      <c r="P196" s="13" t="s">
        <v>131</v>
      </c>
      <c r="Q196" s="13" t="s">
        <v>132</v>
      </c>
      <c r="R196" t="str">
        <f t="shared" si="48"/>
        <v>002</v>
      </c>
      <c r="S196">
        <f t="shared" si="54"/>
        <v>139</v>
      </c>
      <c r="T196" s="13" t="str">
        <f>VLOOKUP(Q196,original!B:C,2,FALSE)</f>
        <v>Palladium-Catalyzed Denitrogenative Suzuki Coupling of Benzothiatriazine Dioxides for Bi(hetero)aryl-2-sulfonamides</v>
      </c>
      <c r="U196" s="13" t="s">
        <v>134</v>
      </c>
      <c r="V196" t="str">
        <f t="shared" si="49"/>
        <v>jo5c02305</v>
      </c>
      <c r="W196" t="str">
        <f t="shared" si="50"/>
        <v>jo5c02305_si_002.zip</v>
      </c>
      <c r="X196" t="str">
        <f t="shared" si="51"/>
        <v>https://acs.figshare.com/articles/dataset/Palladium-Catalyzed_Denitrogenative_Suzuki_Coupling_of_Benzothiatriazine_Dioxides_for_Bi_hetero_aryl-2-sulfonamides/30699110</v>
      </c>
      <c r="Y196" s="1" t="str">
        <f t="shared" si="55"/>
        <v>--localSource c:/temp/acs2/data --targetDir c:/temp/acs2/$DOI$ --noDownload --readOnly  --pubDOI https://doi.org/10.1021/acs.joc.5c02305 --dataDOI "10.1021/acs.joc.5c02305https://acs.figshare.com/articles/dataset/Palladium-Catalyzed_Denitrogenative_Suzuki_Coupling_of_Benzothiatriazine_Dioxides_for_Bi_hetero_aryl-2-sulfonamides/30699110"</v>
      </c>
      <c r="Z196" t="str">
        <f t="shared" si="52"/>
        <v>&lt;br&gt;&lt;a href="https://doi.org/10.1021/acs.joc.5c02305.s002"&gt;https://doi.org/10.1021/acs.joc.5c02305.s002&lt;/a&gt;</v>
      </c>
      <c r="AA196" t="str">
        <f t="shared" si="53"/>
        <v/>
      </c>
    </row>
    <row r="197" spans="1:27" x14ac:dyDescent="0.35">
      <c r="A197">
        <v>196</v>
      </c>
      <c r="B197" s="5" t="str">
        <f t="shared" si="42"/>
        <v>jo5c02308</v>
      </c>
      <c r="C197" s="1" t="str">
        <f t="shared" si="43"/>
        <v/>
      </c>
      <c r="D197">
        <f>IF(F197=1,"",IF(AND(D196="",S196=S197),"",S197-SUM(F$2:F196)))</f>
        <v>105</v>
      </c>
      <c r="E197" t="str">
        <f t="shared" si="44"/>
        <v>0</v>
      </c>
      <c r="F197">
        <v>0</v>
      </c>
      <c r="M197" t="str">
        <f t="shared" si="45"/>
        <v>/*105 jo5c02308 */"https://doi.org/10.1021/acs.joc.5c02308.s001",//Characteristic Flavaglines with Therapeutic Potential for Ischemic Stroke from Aglaia perviridis</v>
      </c>
      <c r="N197" t="e">
        <f t="shared" si="46"/>
        <v>#N/A</v>
      </c>
      <c r="O197" t="b">
        <f t="shared" si="47"/>
        <v>0</v>
      </c>
      <c r="P197" s="13" t="s">
        <v>129</v>
      </c>
      <c r="Q197" s="13" t="s">
        <v>130</v>
      </c>
      <c r="R197" t="str">
        <f t="shared" si="48"/>
        <v>001</v>
      </c>
      <c r="S197">
        <f t="shared" si="54"/>
        <v>140</v>
      </c>
      <c r="T197" s="13" t="str">
        <f>VLOOKUP(Q197,original!B:C,2,FALSE)</f>
        <v>Characteristic Flavaglines with Therapeutic Potential for Ischemic Stroke from Aglaia perviridis</v>
      </c>
      <c r="U197" s="13" t="s">
        <v>114</v>
      </c>
      <c r="V197" t="str">
        <f t="shared" si="49"/>
        <v>jo5c02308</v>
      </c>
      <c r="W197" t="str">
        <f t="shared" si="50"/>
        <v>jo5c02308_si_001.zip</v>
      </c>
      <c r="X197" t="str">
        <f t="shared" si="51"/>
        <v>https://acs.figshare.com/articles/dataset/Characteristic_Flavaglines_with_Therapeutic_Potential_for_Ischemic_Stroke_from_i_Aglaia_perviridis_i_/30715319</v>
      </c>
      <c r="Y197" s="1" t="str">
        <f t="shared" si="55"/>
        <v/>
      </c>
      <c r="Z197" t="str">
        <f t="shared" si="52"/>
        <v>&lt;br&gt;&lt;a href="https://doi.org/10.1021/acs.joc.5c02308.s001"&gt;https://doi.org/10.1021/acs.joc.5c02308.s001&lt;/a&gt;</v>
      </c>
      <c r="AA197" t="str">
        <f t="shared" si="53"/>
        <v/>
      </c>
    </row>
    <row r="198" spans="1:27" x14ac:dyDescent="0.35">
      <c r="A198">
        <v>197</v>
      </c>
      <c r="B198" s="5" t="str">
        <f t="shared" si="42"/>
        <v>jo5c02308</v>
      </c>
      <c r="C198" s="1" t="str">
        <f t="shared" si="43"/>
        <v/>
      </c>
      <c r="D198">
        <f>IF(F198=1,"",IF(AND(D197="",S197=S198),"",S198-SUM(F$2:F197)))</f>
        <v>105</v>
      </c>
      <c r="E198" t="str">
        <f t="shared" si="44"/>
        <v>1</v>
      </c>
      <c r="F198">
        <v>0</v>
      </c>
      <c r="M198" t="str">
        <f t="shared" si="45"/>
        <v>/*105 jo5c02308 */"https://doi.org/10.1021/acs.joc.5c02308.s002",//Characteristic Flavaglines with Therapeutic Potential for Ischemic Stroke from Aglaia perviridis</v>
      </c>
      <c r="N198" t="e">
        <f t="shared" si="46"/>
        <v>#N/A</v>
      </c>
      <c r="O198" t="b">
        <f t="shared" si="47"/>
        <v>0</v>
      </c>
      <c r="P198" s="13" t="s">
        <v>127</v>
      </c>
      <c r="Q198" s="13" t="s">
        <v>128</v>
      </c>
      <c r="R198" t="str">
        <f t="shared" si="48"/>
        <v>002</v>
      </c>
      <c r="S198">
        <f t="shared" si="54"/>
        <v>140</v>
      </c>
      <c r="T198" s="13" t="str">
        <f>VLOOKUP(Q198,original!B:C,2,FALSE)</f>
        <v>Characteristic Flavaglines with Therapeutic Potential for Ischemic Stroke from Aglaia perviridis</v>
      </c>
      <c r="U198" s="13" t="s">
        <v>114</v>
      </c>
      <c r="V198" t="str">
        <f t="shared" si="49"/>
        <v>jo5c02308</v>
      </c>
      <c r="W198" t="str">
        <f t="shared" si="50"/>
        <v>jo5c02308_si_002.zip</v>
      </c>
      <c r="X198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</v>
      </c>
      <c r="Y198" s="1" t="str">
        <f t="shared" si="55"/>
        <v/>
      </c>
      <c r="Z198" t="str">
        <f t="shared" si="52"/>
        <v>&lt;br&gt;&lt;a href="https://doi.org/10.1021/acs.joc.5c02308.s002"&gt;https://doi.org/10.1021/acs.joc.5c02308.s002&lt;/a&gt;</v>
      </c>
      <c r="AA198" t="str">
        <f t="shared" si="53"/>
        <v/>
      </c>
    </row>
    <row r="199" spans="1:27" x14ac:dyDescent="0.35">
      <c r="A199">
        <v>198</v>
      </c>
      <c r="B199" s="5" t="str">
        <f t="shared" si="42"/>
        <v>jo5c02308</v>
      </c>
      <c r="C199" s="1" t="str">
        <f t="shared" si="43"/>
        <v/>
      </c>
      <c r="D199">
        <f>IF(F199=1,"",IF(AND(D198="",S198=S199),"",S199-SUM(F$2:F198)))</f>
        <v>105</v>
      </c>
      <c r="E199" t="str">
        <f t="shared" si="44"/>
        <v>1</v>
      </c>
      <c r="F199">
        <v>0</v>
      </c>
      <c r="M199" t="str">
        <f t="shared" si="45"/>
        <v>/*105 jo5c02308 */"https://doi.org/10.1021/acs.joc.5c02308.s003",//Characteristic Flavaglines with Therapeutic Potential for Ischemic Stroke from Aglaia perviridis</v>
      </c>
      <c r="N199" t="e">
        <f t="shared" si="46"/>
        <v>#N/A</v>
      </c>
      <c r="O199" t="b">
        <f t="shared" si="47"/>
        <v>0</v>
      </c>
      <c r="P199" s="13" t="s">
        <v>125</v>
      </c>
      <c r="Q199" s="13" t="s">
        <v>126</v>
      </c>
      <c r="R199" t="str">
        <f t="shared" si="48"/>
        <v>003</v>
      </c>
      <c r="S199">
        <f t="shared" si="54"/>
        <v>140</v>
      </c>
      <c r="T199" s="13" t="str">
        <f>VLOOKUP(Q199,original!B:C,2,FALSE)</f>
        <v>Characteristic Flavaglines with Therapeutic Potential for Ischemic Stroke from Aglaia perviridis</v>
      </c>
      <c r="U199" s="13" t="s">
        <v>114</v>
      </c>
      <c r="V199" t="str">
        <f t="shared" si="49"/>
        <v>jo5c02308</v>
      </c>
      <c r="W199" t="str">
        <f t="shared" si="50"/>
        <v>jo5c02308_si_003.zip</v>
      </c>
      <c r="X199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</v>
      </c>
      <c r="Y199" s="1" t="str">
        <f t="shared" si="55"/>
        <v/>
      </c>
      <c r="Z199" t="str">
        <f t="shared" si="52"/>
        <v>&lt;br&gt;&lt;a href="https://doi.org/10.1021/acs.joc.5c02308.s003"&gt;https://doi.org/10.1021/acs.joc.5c02308.s003&lt;/a&gt;</v>
      </c>
      <c r="AA199" t="str">
        <f t="shared" si="53"/>
        <v/>
      </c>
    </row>
    <row r="200" spans="1:27" x14ac:dyDescent="0.35">
      <c r="A200">
        <v>199</v>
      </c>
      <c r="B200" s="5" t="str">
        <f t="shared" si="42"/>
        <v>jo5c02308</v>
      </c>
      <c r="C200" s="1" t="str">
        <f t="shared" si="43"/>
        <v/>
      </c>
      <c r="D200">
        <f>IF(F200=1,"",IF(AND(D199="",S199=S200),"",S200-SUM(F$2:F199)))</f>
        <v>105</v>
      </c>
      <c r="E200" t="str">
        <f t="shared" si="44"/>
        <v>1</v>
      </c>
      <c r="F200">
        <v>0</v>
      </c>
      <c r="M200" t="str">
        <f t="shared" si="45"/>
        <v>/*105 jo5c02308 */"https://doi.org/10.1021/acs.joc.5c02308.s004",//Characteristic Flavaglines with Therapeutic Potential for Ischemic Stroke from Aglaia perviridis</v>
      </c>
      <c r="N200" t="e">
        <f t="shared" si="46"/>
        <v>#N/A</v>
      </c>
      <c r="O200" t="b">
        <f t="shared" si="47"/>
        <v>0</v>
      </c>
      <c r="P200" s="13" t="s">
        <v>123</v>
      </c>
      <c r="Q200" s="13" t="s">
        <v>124</v>
      </c>
      <c r="R200" t="str">
        <f t="shared" si="48"/>
        <v>004</v>
      </c>
      <c r="S200">
        <f t="shared" si="54"/>
        <v>140</v>
      </c>
      <c r="T200" s="13" t="str">
        <f>VLOOKUP(Q200,original!B:C,2,FALSE)</f>
        <v>Characteristic Flavaglines with Therapeutic Potential for Ischemic Stroke from Aglaia perviridis</v>
      </c>
      <c r="U200" s="13" t="s">
        <v>114</v>
      </c>
      <c r="V200" t="str">
        <f t="shared" si="49"/>
        <v>jo5c02308</v>
      </c>
      <c r="W200" t="str">
        <f t="shared" si="50"/>
        <v>jo5c02308_si_004.zip</v>
      </c>
      <c r="X200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</v>
      </c>
      <c r="Y200" s="1" t="str">
        <f t="shared" si="55"/>
        <v/>
      </c>
      <c r="Z200" t="str">
        <f t="shared" si="52"/>
        <v>&lt;br&gt;&lt;a href="https://doi.org/10.1021/acs.joc.5c02308.s004"&gt;https://doi.org/10.1021/acs.joc.5c02308.s004&lt;/a&gt;</v>
      </c>
      <c r="AA200" t="str">
        <f t="shared" si="53"/>
        <v/>
      </c>
    </row>
    <row r="201" spans="1:27" x14ac:dyDescent="0.35">
      <c r="A201">
        <v>200</v>
      </c>
      <c r="B201" s="5" t="str">
        <f t="shared" si="42"/>
        <v>jo5c02308</v>
      </c>
      <c r="C201" s="1" t="str">
        <f t="shared" si="43"/>
        <v/>
      </c>
      <c r="D201">
        <f>IF(F201=1,"",IF(AND(D200="",S200=S201),"",S201-SUM(F$2:F200)))</f>
        <v>105</v>
      </c>
      <c r="E201" t="str">
        <f t="shared" si="44"/>
        <v>1</v>
      </c>
      <c r="F201">
        <v>0</v>
      </c>
      <c r="M201" t="str">
        <f t="shared" si="45"/>
        <v>/*105 jo5c02308 */"https://doi.org/10.1021/acs.joc.5c02308.s005",//Characteristic Flavaglines with Therapeutic Potential for Ischemic Stroke from Aglaia perviridis</v>
      </c>
      <c r="N201" t="e">
        <f t="shared" si="46"/>
        <v>#N/A</v>
      </c>
      <c r="O201" t="b">
        <f t="shared" si="47"/>
        <v>0</v>
      </c>
      <c r="P201" s="13" t="s">
        <v>121</v>
      </c>
      <c r="Q201" s="13" t="s">
        <v>122</v>
      </c>
      <c r="R201" t="str">
        <f t="shared" si="48"/>
        <v>005</v>
      </c>
      <c r="S201">
        <f t="shared" si="54"/>
        <v>140</v>
      </c>
      <c r="T201" s="13" t="str">
        <f>VLOOKUP(Q201,original!B:C,2,FALSE)</f>
        <v>Characteristic Flavaglines with Therapeutic Potential for Ischemic Stroke from Aglaia perviridis</v>
      </c>
      <c r="U201" s="13" t="s">
        <v>114</v>
      </c>
      <c r="V201" t="str">
        <f t="shared" si="49"/>
        <v>jo5c02308</v>
      </c>
      <c r="W201" t="str">
        <f t="shared" si="50"/>
        <v>jo5c02308_si_005.zip</v>
      </c>
      <c r="X201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\thttps://acs.figshare.com/articles/dataset/Characteristic_Flavaglines_with_Therapeutic_Potential_for_Ischemic_Stroke_from_i_Aglaia_perviridis_i_/30715331</v>
      </c>
      <c r="Y201" s="1" t="str">
        <f t="shared" si="55"/>
        <v/>
      </c>
      <c r="Z201" t="str">
        <f t="shared" si="52"/>
        <v>&lt;br&gt;&lt;a href="https://doi.org/10.1021/acs.joc.5c02308.s005"&gt;https://doi.org/10.1021/acs.joc.5c02308.s005&lt;/a&gt;</v>
      </c>
      <c r="AA201" t="str">
        <f t="shared" si="53"/>
        <v/>
      </c>
    </row>
    <row r="202" spans="1:27" x14ac:dyDescent="0.35">
      <c r="A202">
        <v>201</v>
      </c>
      <c r="B202" s="5" t="str">
        <f t="shared" si="42"/>
        <v>jo5c02308</v>
      </c>
      <c r="C202" s="1" t="str">
        <f t="shared" si="43"/>
        <v/>
      </c>
      <c r="D202">
        <f>IF(F202=1,"",IF(AND(D201="",S201=S202),"",S202-SUM(F$2:F201)))</f>
        <v>105</v>
      </c>
      <c r="E202" t="str">
        <f t="shared" si="44"/>
        <v>1</v>
      </c>
      <c r="F202">
        <v>0</v>
      </c>
      <c r="M202" t="str">
        <f t="shared" si="45"/>
        <v>/*105 jo5c02308 */"https://doi.org/10.1021/acs.joc.5c02308.s006",//Characteristic Flavaglines with Therapeutic Potential for Ischemic Stroke from Aglaia perviridis</v>
      </c>
      <c r="N202" t="e">
        <f t="shared" si="46"/>
        <v>#N/A</v>
      </c>
      <c r="O202" t="b">
        <f t="shared" si="47"/>
        <v>0</v>
      </c>
      <c r="P202" s="13" t="s">
        <v>119</v>
      </c>
      <c r="Q202" s="13" t="s">
        <v>120</v>
      </c>
      <c r="R202" t="str">
        <f t="shared" si="48"/>
        <v>006</v>
      </c>
      <c r="S202">
        <f t="shared" si="54"/>
        <v>140</v>
      </c>
      <c r="T202" s="13" t="str">
        <f>VLOOKUP(Q202,original!B:C,2,FALSE)</f>
        <v>Characteristic Flavaglines with Therapeutic Potential for Ischemic Stroke from Aglaia perviridis</v>
      </c>
      <c r="U202" s="13" t="s">
        <v>114</v>
      </c>
      <c r="V202" t="str">
        <f t="shared" si="49"/>
        <v>jo5c02308</v>
      </c>
      <c r="W202" t="str">
        <f t="shared" si="50"/>
        <v>jo5c02308_si_006.zip</v>
      </c>
      <c r="X202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\thttps://acs.figshare.com/articles/dataset/Characteristic_Flavaglines_with_Therapeutic_Potential_for_Ischemic_Stroke_from_i_Aglaia_perviridis_i_/30715331\thttps://acs.figshare.com/articles/dataset/Characteristic_Flavaglines_with_Therapeutic_Potential_for_Ischemic_Stroke_from_i_Aglaia_perviridis_i_/30715334</v>
      </c>
      <c r="Y202" s="1" t="str">
        <f t="shared" si="55"/>
        <v/>
      </c>
      <c r="Z202" t="str">
        <f t="shared" si="52"/>
        <v>&lt;br&gt;&lt;a href="https://doi.org/10.1021/acs.joc.5c02308.s006"&gt;https://doi.org/10.1021/acs.joc.5c02308.s006&lt;/a&gt;</v>
      </c>
      <c r="AA202" t="str">
        <f t="shared" si="53"/>
        <v/>
      </c>
    </row>
    <row r="203" spans="1:27" x14ac:dyDescent="0.35">
      <c r="A203">
        <v>202</v>
      </c>
      <c r="B203" s="5" t="str">
        <f t="shared" si="42"/>
        <v>jo5c02308</v>
      </c>
      <c r="C203" s="1" t="str">
        <f t="shared" si="43"/>
        <v/>
      </c>
      <c r="D203">
        <f>IF(F203=1,"",IF(AND(D202="",S202=S203),"",S203-SUM(F$2:F202)))</f>
        <v>105</v>
      </c>
      <c r="E203" t="str">
        <f t="shared" si="44"/>
        <v>1</v>
      </c>
      <c r="F203">
        <v>0</v>
      </c>
      <c r="M203" t="str">
        <f t="shared" si="45"/>
        <v>/*105 jo5c02308 */"https://doi.org/10.1021/acs.joc.5c02308.s007",//Characteristic Flavaglines with Therapeutic Potential for Ischemic Stroke from Aglaia perviridis</v>
      </c>
      <c r="N203" t="e">
        <f t="shared" si="46"/>
        <v>#N/A</v>
      </c>
      <c r="O203" t="b">
        <f t="shared" si="47"/>
        <v>0</v>
      </c>
      <c r="P203" s="13" t="s">
        <v>117</v>
      </c>
      <c r="Q203" s="13" t="s">
        <v>118</v>
      </c>
      <c r="R203" t="str">
        <f t="shared" si="48"/>
        <v>007</v>
      </c>
      <c r="S203">
        <f t="shared" si="54"/>
        <v>140</v>
      </c>
      <c r="T203" s="13" t="str">
        <f>VLOOKUP(Q203,original!B:C,2,FALSE)</f>
        <v>Characteristic Flavaglines with Therapeutic Potential for Ischemic Stroke from Aglaia perviridis</v>
      </c>
      <c r="U203" s="13" t="s">
        <v>114</v>
      </c>
      <c r="V203" t="str">
        <f t="shared" si="49"/>
        <v>jo5c02308</v>
      </c>
      <c r="W203" t="str">
        <f t="shared" si="50"/>
        <v>jo5c02308_si_007.zip</v>
      </c>
      <c r="X203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\thttps://acs.figshare.com/articles/dataset/Characteristic_Flavaglines_with_Therapeutic_Potential_for_Ischemic_Stroke_from_i_Aglaia_perviridis_i_/30715331\thttps://acs.figshare.com/articles/dataset/Characteristic_Flavaglines_with_Therapeutic_Potential_for_Ischemic_Stroke_from_i_Aglaia_perviridis_i_/30715334\thttps://acs.figshare.com/articles/dataset/Characteristic_Flavaglines_with_Therapeutic_Potential_for_Ischemic_Stroke_from_i_Aglaia_perviridis_i_/30715337</v>
      </c>
      <c r="Y203" s="1" t="str">
        <f t="shared" si="55"/>
        <v/>
      </c>
      <c r="Z203" t="str">
        <f t="shared" si="52"/>
        <v>&lt;br&gt;&lt;a href="https://doi.org/10.1021/acs.joc.5c02308.s007"&gt;https://doi.org/10.1021/acs.joc.5c02308.s007&lt;/a&gt;</v>
      </c>
      <c r="AA203" t="str">
        <f t="shared" si="53"/>
        <v/>
      </c>
    </row>
    <row r="204" spans="1:27" x14ac:dyDescent="0.35">
      <c r="A204">
        <v>203</v>
      </c>
      <c r="B204" s="5" t="str">
        <f t="shared" si="42"/>
        <v>jo5c02308</v>
      </c>
      <c r="C204" s="1" t="str">
        <f t="shared" si="43"/>
        <v/>
      </c>
      <c r="D204">
        <f>IF(F204=1,"",IF(AND(D203="",S203=S204),"",S204-SUM(F$2:F203)))</f>
        <v>105</v>
      </c>
      <c r="E204" t="str">
        <f t="shared" si="44"/>
        <v>1</v>
      </c>
      <c r="F204">
        <v>0</v>
      </c>
      <c r="M204" t="str">
        <f t="shared" si="45"/>
        <v>/*105 jo5c02308 */"https://doi.org/10.1021/acs.joc.5c02308.s008",//Characteristic Flavaglines with Therapeutic Potential for Ischemic Stroke from Aglaia perviridis</v>
      </c>
      <c r="N204" t="e">
        <f t="shared" si="46"/>
        <v>#N/A</v>
      </c>
      <c r="O204" t="b">
        <f t="shared" si="47"/>
        <v>0</v>
      </c>
      <c r="P204" s="13" t="s">
        <v>115</v>
      </c>
      <c r="Q204" s="13" t="s">
        <v>116</v>
      </c>
      <c r="R204" t="str">
        <f t="shared" si="48"/>
        <v>008</v>
      </c>
      <c r="S204">
        <f t="shared" si="54"/>
        <v>140</v>
      </c>
      <c r="T204" s="13" t="str">
        <f>VLOOKUP(Q204,original!B:C,2,FALSE)</f>
        <v>Characteristic Flavaglines with Therapeutic Potential for Ischemic Stroke from Aglaia perviridis</v>
      </c>
      <c r="U204" s="13" t="s">
        <v>114</v>
      </c>
      <c r="V204" t="str">
        <f t="shared" si="49"/>
        <v>jo5c02308</v>
      </c>
      <c r="W204" t="str">
        <f t="shared" si="50"/>
        <v>jo5c02308_si_008.zip</v>
      </c>
      <c r="X204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\thttps://acs.figshare.com/articles/dataset/Characteristic_Flavaglines_with_Therapeutic_Potential_for_Ischemic_Stroke_from_i_Aglaia_perviridis_i_/30715331\thttps://acs.figshare.com/articles/dataset/Characteristic_Flavaglines_with_Therapeutic_Potential_for_Ischemic_Stroke_from_i_Aglaia_perviridis_i_/30715334\thttps://acs.figshare.com/articles/dataset/Characteristic_Flavaglines_with_Therapeutic_Potential_for_Ischemic_Stroke_from_i_Aglaia_perviridis_i_/30715337\thttps://acs.figshare.com/articles/dataset/Characteristic_Flavaglines_with_Therapeutic_Potential_for_Ischemic_Stroke_from_i_Aglaia_perviridis_i_/30715340</v>
      </c>
      <c r="Y204" s="1" t="str">
        <f t="shared" si="55"/>
        <v/>
      </c>
      <c r="Z204" t="str">
        <f t="shared" si="52"/>
        <v>&lt;br&gt;&lt;a href="https://doi.org/10.1021/acs.joc.5c02308.s008"&gt;https://doi.org/10.1021/acs.joc.5c02308.s008&lt;/a&gt;</v>
      </c>
      <c r="AA204" t="str">
        <f t="shared" si="53"/>
        <v/>
      </c>
    </row>
    <row r="205" spans="1:27" x14ac:dyDescent="0.35">
      <c r="A205">
        <v>204</v>
      </c>
      <c r="B205" s="5" t="str">
        <f t="shared" si="42"/>
        <v>jo5c02308</v>
      </c>
      <c r="C205" s="1" t="str">
        <f t="shared" si="43"/>
        <v>jo5c02308</v>
      </c>
      <c r="D205">
        <f>IF(F205=1,"",IF(AND(D204="",S204=S205),"",S205-SUM(F$2:F204)))</f>
        <v>105</v>
      </c>
      <c r="E205" t="str">
        <f t="shared" si="44"/>
        <v>1</v>
      </c>
      <c r="F205">
        <v>0</v>
      </c>
      <c r="H205">
        <v>9</v>
      </c>
      <c r="I205">
        <v>48</v>
      </c>
      <c r="M205" t="str">
        <f t="shared" si="45"/>
        <v>/*105 jo5c02308 */"https://doi.org/10.1021/acs.joc.5c02308.s009",//Characteristic Flavaglines with Therapeutic Potential for Ischemic Stroke from Aglaia perviridis</v>
      </c>
      <c r="N205" t="e">
        <f t="shared" si="46"/>
        <v>#N/A</v>
      </c>
      <c r="O205" t="b">
        <f t="shared" si="47"/>
        <v>0</v>
      </c>
      <c r="P205" s="13" t="s">
        <v>111</v>
      </c>
      <c r="Q205" s="13" t="s">
        <v>112</v>
      </c>
      <c r="R205" t="str">
        <f t="shared" si="48"/>
        <v>009</v>
      </c>
      <c r="S205">
        <f t="shared" si="54"/>
        <v>140</v>
      </c>
      <c r="T205" s="13" t="str">
        <f>VLOOKUP(Q205,original!B:C,2,FALSE)</f>
        <v>Characteristic Flavaglines with Therapeutic Potential for Ischemic Stroke from Aglaia perviridis</v>
      </c>
      <c r="U205" s="13" t="s">
        <v>114</v>
      </c>
      <c r="V205" t="str">
        <f t="shared" si="49"/>
        <v>jo5c02308</v>
      </c>
      <c r="W205" t="str">
        <f t="shared" si="50"/>
        <v>jo5c02308_si_009.zip</v>
      </c>
      <c r="X205" t="str">
        <f t="shared" si="51"/>
        <v>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\thttps://acs.figshare.com/articles/dataset/Characteristic_Flavaglines_with_Therapeutic_Potential_for_Ischemic_Stroke_from_i_Aglaia_perviridis_i_/30715331\thttps://acs.figshare.com/articles/dataset/Characteristic_Flavaglines_with_Therapeutic_Potential_for_Ischemic_Stroke_from_i_Aglaia_perviridis_i_/30715334\thttps://acs.figshare.com/articles/dataset/Characteristic_Flavaglines_with_Therapeutic_Potential_for_Ischemic_Stroke_from_i_Aglaia_perviridis_i_/30715337\thttps://acs.figshare.com/articles/dataset/Characteristic_Flavaglines_with_Therapeutic_Potential_for_Ischemic_Stroke_from_i_Aglaia_perviridis_i_/30715340\thttps://acs.figshare.com/articles/dataset/Characteristic_Flavaglines_with_Therapeutic_Potential_for_Ischemic_Stroke_from_i_Aglaia_perviridis_i_/30715343</v>
      </c>
      <c r="Y205" s="1" t="str">
        <f t="shared" si="55"/>
        <v>--localSource c:/temp/acs2/data --targetDir c:/temp/acs2/$DOI$ --noDownload --readOnly  --pubDOI https://doi.org/10.1021/acs.joc.5c02308 --dataDOI "10.1021/acs.joc.5c02308https://acs.figshare.com/articles/dataset/Characteristic_Flavaglines_with_Therapeutic_Potential_for_Ischemic_Stroke_from_i_Aglaia_perviridis_i_/30715319\thttps://acs.figshare.com/articles/dataset/Characteristic_Flavaglines_with_Therapeutic_Potential_for_Ischemic_Stroke_from_i_Aglaia_perviridis_i_/30715322\thttps://acs.figshare.com/articles/dataset/Characteristic_Flavaglines_with_Therapeutic_Potential_for_Ischemic_Stroke_from_i_Aglaia_perviridis_i_/30715325\thttps://acs.figshare.com/articles/dataset/Characteristic_Flavaglines_with_Therapeutic_Potential_for_Ischemic_Stroke_from_i_Aglaia_perviridis_i_/30715328\thttps://acs.figshare.com/articles/dataset/Characteristic_Flavaglines_with_Therapeutic_Potential_for_Ischemic_Stroke_from_i_Aglaia_perviridis_i_/30715331\thttps://acs.figshare.com/articles/dataset/Characteristic_Flavaglines_with_Therapeutic_Potential_for_Ischemic_Stroke_from_i_Aglaia_perviridis_i_/30715334\thttps://acs.figshare.com/articles/dataset/Characteristic_Flavaglines_with_Therapeutic_Potential_for_Ischemic_Stroke_from_i_Aglaia_perviridis_i_/30715337\thttps://acs.figshare.com/articles/dataset/Characteristic_Flavaglines_with_Therapeutic_Potential_for_Ischemic_Stroke_from_i_Aglaia_perviridis_i_/30715340\thttps://acs.figshare.com/articles/dataset/Characteristic_Flavaglines_with_Therapeutic_Potential_for_Ischemic_Stroke_from_i_Aglaia_perviridis_i_/30715343"</v>
      </c>
      <c r="Z205" t="str">
        <f t="shared" si="52"/>
        <v>&lt;br&gt;&lt;a href="https://doi.org/10.1021/acs.joc.5c02308.s009"&gt;https://doi.org/10.1021/acs.joc.5c02308.s009&lt;/a&gt;</v>
      </c>
      <c r="AA205" t="str">
        <f t="shared" si="53"/>
        <v/>
      </c>
    </row>
    <row r="206" spans="1:27" x14ac:dyDescent="0.35">
      <c r="A206">
        <v>205</v>
      </c>
      <c r="B206" s="5" t="str">
        <f t="shared" si="42"/>
        <v>jo5c02383</v>
      </c>
      <c r="C206" s="1" t="str">
        <f t="shared" si="43"/>
        <v>jo5c02383</v>
      </c>
      <c r="D206">
        <f>IF(F206=1,"",IF(AND(D205="",S205=S206),"",S206-SUM(F$2:F205)))</f>
        <v>106</v>
      </c>
      <c r="E206" t="str">
        <f t="shared" si="44"/>
        <v>0</v>
      </c>
      <c r="F206">
        <v>0</v>
      </c>
      <c r="H206">
        <v>63</v>
      </c>
      <c r="I206">
        <v>79</v>
      </c>
      <c r="M206" t="str">
        <f t="shared" si="45"/>
        <v>/*106 jo5c02383 */"https://doi.org/10.1021/acs.joc.5c02383.s001",//Chemoselective Synthesis of Fluorinated 1,3-Thiazines via Sonication-Assisted [3 + 3] Annulation of Thioamides and α‑CF3 Styrene</v>
      </c>
      <c r="N206" t="e">
        <f t="shared" si="46"/>
        <v>#N/A</v>
      </c>
      <c r="O206" t="b">
        <f t="shared" si="47"/>
        <v>0</v>
      </c>
      <c r="P206" s="13" t="s">
        <v>48</v>
      </c>
      <c r="Q206" s="13" t="s">
        <v>49</v>
      </c>
      <c r="R206" t="str">
        <f t="shared" si="48"/>
        <v>001</v>
      </c>
      <c r="S206">
        <f t="shared" si="54"/>
        <v>141</v>
      </c>
      <c r="T206" s="13" t="str">
        <f>VLOOKUP(Q206,original!B:C,2,FALSE)</f>
        <v>Chemoselective Synthesis of Fluorinated 1,3-Thiazines via Sonication-Assisted [3 + 3] Annulation of Thioamides and α‑CF3 Styrene</v>
      </c>
      <c r="U206" s="13" t="s">
        <v>50</v>
      </c>
      <c r="V206" t="str">
        <f t="shared" si="49"/>
        <v>jo5c02383</v>
      </c>
      <c r="W206" t="str">
        <f t="shared" si="50"/>
        <v>jo5c02383_si_001.zip</v>
      </c>
      <c r="X206" t="str">
        <f t="shared" si="51"/>
        <v>https://acs.figshare.com/articles/dataset/Chemoselective_Synthesis_of_Fluorinated_1_3-Thiazines_via_Sonication-Assisted_3_3_Annulation_of_Thioamides_and_CF_sub_3_sub_Styrene/30927475</v>
      </c>
      <c r="Y206" s="1" t="str">
        <f t="shared" si="55"/>
        <v>--localSource c:/temp/acs2/data --targetDir c:/temp/acs2/$DOI$ --noDownload --readOnly  --pubDOI https://doi.org/10.1021/acs.joc.5c02383 --dataDOI "10.1021/acs.joc.5c02383https://acs.figshare.com/articles/dataset/Chemoselective_Synthesis_of_Fluorinated_1_3-Thiazines_via_Sonication-Assisted_3_3_Annulation_of_Thioamides_and_CF_sub_3_sub_Styrene/30927475"</v>
      </c>
      <c r="Z206" t="str">
        <f t="shared" si="52"/>
        <v>&lt;br&gt;&lt;a href="https://doi.org/10.1021/acs.joc.5c02383.s001"&gt;https://doi.org/10.1021/acs.joc.5c02383.s001&lt;/a&gt;</v>
      </c>
      <c r="AA206" t="str">
        <f t="shared" si="53"/>
        <v/>
      </c>
    </row>
    <row r="207" spans="1:27" x14ac:dyDescent="0.35">
      <c r="A207">
        <v>206</v>
      </c>
      <c r="B207" s="5" t="str">
        <f t="shared" si="42"/>
        <v>jo5c02404</v>
      </c>
      <c r="C207" s="1" t="str">
        <f t="shared" si="43"/>
        <v xml:space="preserve">#jo5c02404 </v>
      </c>
      <c r="D207" t="str">
        <f>IF(F207=1,"",IF(AND(D206="",S206=S207),"",S207-SUM(F$2:F206)))</f>
        <v/>
      </c>
      <c r="E207" t="str">
        <f t="shared" si="44"/>
        <v>0</v>
      </c>
      <c r="F207">
        <v>1</v>
      </c>
      <c r="M207" t="str">
        <f t="shared" si="45"/>
        <v/>
      </c>
      <c r="N207" t="str">
        <f t="shared" si="46"/>
        <v>jo5c02404_si_002.xyz</v>
      </c>
      <c r="O207" t="b">
        <f t="shared" si="47"/>
        <v>1</v>
      </c>
      <c r="P207" s="13" t="s">
        <v>104</v>
      </c>
      <c r="Q207" s="13" t="s">
        <v>105</v>
      </c>
      <c r="R207" t="str">
        <f t="shared" si="48"/>
        <v>002</v>
      </c>
      <c r="S207">
        <f t="shared" si="54"/>
        <v>142</v>
      </c>
      <c r="T207" s="13" t="str">
        <f>VLOOKUP(Q207,original!B:C,2,FALSE)</f>
        <v>Anion-Assisted Glycosylation of Galactose: A Computational Study</v>
      </c>
      <c r="U207" s="13" t="s">
        <v>107</v>
      </c>
      <c r="V207" t="str">
        <f t="shared" si="49"/>
        <v>jo5c02404</v>
      </c>
      <c r="W207" t="str">
        <f t="shared" si="50"/>
        <v>jo5c02404_si_002.zip</v>
      </c>
      <c r="X207" t="str">
        <f t="shared" si="51"/>
        <v>https://acs.figshare.com/articles/dataset/Anion-Assisted_Glycosylation_of_Galactose_A_Computational_Study/30773087</v>
      </c>
      <c r="Y207" s="1" t="str">
        <f t="shared" si="55"/>
        <v>--localSource c:/temp/acs2/data --targetDir c:/temp/acs2/$DOI$ --noDownload --readOnly  --pubDOI https://doi.org/10.1021/acs.joc.5c02404 --dataDOI "10.1021/acs.joc.5c02404https://acs.figshare.com/articles/dataset/Anion-Assisted_Glycosylation_of_Galactose_A_Computational_Study/30773087"</v>
      </c>
      <c r="Z207" t="str">
        <f t="shared" si="52"/>
        <v>&lt;br&gt;&lt;a href="https://doi.org/10.1021/acs.joc.5c02404.s002"&gt;https://doi.org/10.1021/acs.joc.5c02404.s002&lt;/a&gt;</v>
      </c>
      <c r="AA207" t="str">
        <f t="shared" si="53"/>
        <v/>
      </c>
    </row>
    <row r="208" spans="1:27" x14ac:dyDescent="0.35">
      <c r="A208">
        <v>207</v>
      </c>
      <c r="B208" s="5" t="str">
        <f t="shared" si="42"/>
        <v>jo5c02410</v>
      </c>
      <c r="C208" s="1" t="str">
        <f t="shared" si="43"/>
        <v xml:space="preserve">#jo5c02410 </v>
      </c>
      <c r="D208" t="str">
        <f>IF(F208=1,"",IF(AND(D207="",S207=S208),"",S208-SUM(F$2:F207)))</f>
        <v/>
      </c>
      <c r="E208" t="str">
        <f t="shared" si="44"/>
        <v>0</v>
      </c>
      <c r="F208">
        <v>1</v>
      </c>
      <c r="M208" t="str">
        <f t="shared" si="45"/>
        <v/>
      </c>
      <c r="N208" t="str">
        <f t="shared" si="46"/>
        <v>jo5c02410_si_002.xyz</v>
      </c>
      <c r="O208" t="b">
        <f t="shared" si="47"/>
        <v>1</v>
      </c>
      <c r="P208" s="13" t="s">
        <v>139</v>
      </c>
      <c r="Q208" s="13" t="s">
        <v>140</v>
      </c>
      <c r="R208" t="str">
        <f t="shared" si="48"/>
        <v>002</v>
      </c>
      <c r="S208">
        <f t="shared" si="54"/>
        <v>143</v>
      </c>
      <c r="T208" s="13" t="str">
        <f>VLOOKUP(Q208,original!B:C,2,FALSE)</f>
        <v>Regioselective C‑Arylation of Functionalized Nitroalkanes with Furan, Thiophene, and Substituted Thiophenes</v>
      </c>
      <c r="U208" s="13" t="s">
        <v>141</v>
      </c>
      <c r="V208" t="str">
        <f t="shared" si="49"/>
        <v>jo5c02410</v>
      </c>
      <c r="W208" t="str">
        <f t="shared" si="50"/>
        <v>jo5c02410_si_002.zip</v>
      </c>
      <c r="X208" t="str">
        <f t="shared" si="51"/>
        <v>https://acs.figshare.com/articles/dataset/Regioselective_C_Arylation_of_Functionalized_Nitroalkanes_with_Furan_Thiophene_and_Substituted_Thiophenes/30676114</v>
      </c>
      <c r="Y208" s="1" t="str">
        <f t="shared" si="55"/>
        <v>--localSource c:/temp/acs2/data --targetDir c:/temp/acs2/$DOI$ --noDownload --readOnly  --pubDOI https://doi.org/10.1021/acs.joc.5c02410 --dataDOI "10.1021/acs.joc.5c02410https://acs.figshare.com/articles/dataset/Regioselective_C_Arylation_of_Functionalized_Nitroalkanes_with_Furan_Thiophene_and_Substituted_Thiophenes/30676114"</v>
      </c>
      <c r="Z208" t="str">
        <f t="shared" si="52"/>
        <v>&lt;br&gt;&lt;a href="https://doi.org/10.1021/acs.joc.5c02410.s002"&gt;https://doi.org/10.1021/acs.joc.5c02410.s002&lt;/a&gt;</v>
      </c>
      <c r="AA208" t="str">
        <f t="shared" si="53"/>
        <v/>
      </c>
    </row>
    <row r="209" spans="1:27" x14ac:dyDescent="0.35">
      <c r="A209">
        <v>208</v>
      </c>
      <c r="B209" s="5" t="str">
        <f t="shared" si="42"/>
        <v>jo5c02414</v>
      </c>
      <c r="C209" s="1" t="str">
        <f t="shared" si="43"/>
        <v>jo5c02414</v>
      </c>
      <c r="D209">
        <f>IF(F209=1,"",IF(AND(D208="",S208=S209),"",S209-SUM(F$2:F208)))</f>
        <v>107</v>
      </c>
      <c r="E209" t="str">
        <f t="shared" si="44"/>
        <v>0</v>
      </c>
      <c r="F209">
        <v>0</v>
      </c>
      <c r="H209">
        <v>18</v>
      </c>
      <c r="I209">
        <v>22</v>
      </c>
      <c r="J209">
        <v>9</v>
      </c>
      <c r="M209" t="str">
        <f t="shared" si="45"/>
        <v>/*107 jo5c02414 */"https://doi.org/10.1021/acs.joc.5c02414.s002",//Benzo[1,2,3]thiadiazole as an Attractive Heteroaromatic Platform for Two-Photon Absorbing (TPA) Fluorophores: TPA Enhancement in Quasi-Quadrupolar S,N-Heteroarene-Cored Dyes via Skeletal Editing and Regioisomeric Control</v>
      </c>
      <c r="N209" t="e">
        <f t="shared" si="46"/>
        <v>#N/A</v>
      </c>
      <c r="O209" t="b">
        <f t="shared" si="47"/>
        <v>0</v>
      </c>
      <c r="P209" s="13" t="s">
        <v>55</v>
      </c>
      <c r="Q209" s="13" t="s">
        <v>56</v>
      </c>
      <c r="R209" t="str">
        <f t="shared" si="48"/>
        <v>002</v>
      </c>
      <c r="S209">
        <f t="shared" si="54"/>
        <v>144</v>
      </c>
      <c r="T209" s="13" t="str">
        <f>VLOOKUP(Q209,original!B:C,2,FALSE)</f>
        <v>Benzo[1,2,3]thiadiazole as an Attractive Heteroaromatic Platform for Two-Photon Absorbing (TPA) Fluorophores: TPA Enhancement in Quasi-Quadrupolar S,N-Heteroarene-Cored Dyes via Skeletal Editing and Regioisomeric Control</v>
      </c>
      <c r="U209" s="13" t="s">
        <v>58</v>
      </c>
      <c r="V209" t="str">
        <f t="shared" si="49"/>
        <v>jo5c02414</v>
      </c>
      <c r="W209" t="str">
        <f t="shared" si="50"/>
        <v>jo5c02414_si_002.zip</v>
      </c>
      <c r="X209" t="str">
        <f t="shared" si="51"/>
        <v>https://acs.figshare.com/articles/dataset/Benzo_1_2_3_thiadiazole_as_an_Attractive_Heteroaromatic_Platform_for_Two-Photon_Absorbing_TPA_Fluorophores_TPA_Enhancement_in_Quasi-Quadrupolar_S_N-Heteroarene-Cored_Dyes_via_Skeletal_Editing_and_Regioisomeric_Control/30906460</v>
      </c>
      <c r="Y209" s="1" t="str">
        <f t="shared" si="55"/>
        <v>--localSource c:/temp/acs2/data --targetDir c:/temp/acs2/$DOI$ --noDownload --readOnly  --pubDOI https://doi.org/10.1021/acs.joc.5c02414 --dataDOI "10.1021/acs.joc.5c02414https://acs.figshare.com/articles/dataset/Benzo_1_2_3_thiadiazole_as_an_Attractive_Heteroaromatic_Platform_for_Two-Photon_Absorbing_TPA_Fluorophores_TPA_Enhancement_in_Quasi-Quadrupolar_S_N-Heteroarene-Cored_Dyes_via_Skeletal_Editing_and_Regioisomeric_Control/30906460"</v>
      </c>
      <c r="Z209" t="str">
        <f t="shared" si="52"/>
        <v>&lt;br&gt;&lt;a href="https://doi.org/10.1021/acs.joc.5c02414.s002"&gt;https://doi.org/10.1021/acs.joc.5c02414.s002&lt;/a&gt;</v>
      </c>
      <c r="AA209" t="str">
        <f t="shared" si="53"/>
        <v/>
      </c>
    </row>
    <row r="210" spans="1:27" x14ac:dyDescent="0.35">
      <c r="A210">
        <v>209</v>
      </c>
      <c r="B210" s="5" t="str">
        <f t="shared" si="42"/>
        <v>jo5c02438</v>
      </c>
      <c r="C210" s="1" t="str">
        <f t="shared" si="43"/>
        <v/>
      </c>
      <c r="D210" t="str">
        <f>IF(F210=1,"",IF(AND(D209="",S209=S210),"",S210-SUM(F$2:F209)))</f>
        <v/>
      </c>
      <c r="E210" t="str">
        <f t="shared" si="44"/>
        <v>0</v>
      </c>
      <c r="F210">
        <v>1</v>
      </c>
      <c r="G210" t="s">
        <v>1096</v>
      </c>
      <c r="M210" t="str">
        <f t="shared" si="45"/>
        <v/>
      </c>
      <c r="N210" t="str">
        <f t="shared" si="46"/>
        <v>jo5c02438_si_002.xls</v>
      </c>
      <c r="O210" t="b">
        <f t="shared" si="47"/>
        <v>1</v>
      </c>
      <c r="P210" s="13" t="s">
        <v>102</v>
      </c>
      <c r="Q210" s="13" t="s">
        <v>103</v>
      </c>
      <c r="R210" t="str">
        <f t="shared" si="48"/>
        <v>002</v>
      </c>
      <c r="S210">
        <f t="shared" si="54"/>
        <v>145</v>
      </c>
      <c r="T210" s="13" t="str">
        <f>VLOOKUP(Q210,original!B:C,2,FALSE)</f>
        <v>Computational Study on Data Integration in Chiral Catalyst Design: A Case Study Using Michael Addition Reactions</v>
      </c>
      <c r="U210" s="13" t="s">
        <v>101</v>
      </c>
      <c r="V210" t="str">
        <f t="shared" si="49"/>
        <v>jo5c02438</v>
      </c>
      <c r="W210" t="str">
        <f t="shared" si="50"/>
        <v>jo5c02438_si_002.zip</v>
      </c>
      <c r="X210" t="str">
        <f t="shared" si="51"/>
        <v>https://acs.figshare.com/articles/dataset/Computational_Study_on_Data_Integration_in_Chiral_Catalyst_Design_A_Case_Study_Using_Michael_Addition_Reactions/30773374</v>
      </c>
      <c r="Y210" s="1" t="str">
        <f t="shared" si="55"/>
        <v/>
      </c>
      <c r="Z210" t="str">
        <f t="shared" si="52"/>
        <v>&lt;br&gt;&lt;a href="https://doi.org/10.1021/acs.joc.5c02438.s002"&gt;https://doi.org/10.1021/acs.joc.5c02438.s002&lt;/a&gt;</v>
      </c>
      <c r="AA210" t="str">
        <f t="shared" si="53"/>
        <v/>
      </c>
    </row>
    <row r="211" spans="1:27" x14ac:dyDescent="0.35">
      <c r="A211">
        <v>210</v>
      </c>
      <c r="B211" s="5" t="str">
        <f t="shared" si="42"/>
        <v>jo5c02438</v>
      </c>
      <c r="C211" s="1" t="str">
        <f t="shared" si="43"/>
        <v xml:space="preserve">#jo5c02438 </v>
      </c>
      <c r="D211" t="str">
        <f>IF(F211=1,"",IF(AND(D210="",S210=S211),"",S211-SUM(F$2:F210)))</f>
        <v/>
      </c>
      <c r="E211" t="str">
        <f t="shared" si="44"/>
        <v>1</v>
      </c>
      <c r="F211">
        <v>0</v>
      </c>
      <c r="M211" t="str">
        <f t="shared" si="45"/>
        <v/>
      </c>
      <c r="N211" t="e">
        <f t="shared" si="46"/>
        <v>#N/A</v>
      </c>
      <c r="O211" t="b">
        <f t="shared" si="47"/>
        <v>0</v>
      </c>
      <c r="P211" s="13" t="s">
        <v>98</v>
      </c>
      <c r="Q211" s="13" t="s">
        <v>99</v>
      </c>
      <c r="R211" t="str">
        <f t="shared" si="48"/>
        <v>003</v>
      </c>
      <c r="S211">
        <f t="shared" si="54"/>
        <v>145</v>
      </c>
      <c r="T211" s="13" t="str">
        <f>VLOOKUP(Q211,original!B:C,2,FALSE)</f>
        <v>Computational Study on Data Integration in Chiral Catalyst Design: A Case Study Using Michael Addition Reactions</v>
      </c>
      <c r="U211" s="13" t="s">
        <v>101</v>
      </c>
      <c r="V211" t="str">
        <f t="shared" si="49"/>
        <v>jo5c02438</v>
      </c>
      <c r="W211" t="str">
        <f t="shared" si="50"/>
        <v>jo5c02438_si_003.zip</v>
      </c>
      <c r="X211" t="str">
        <f t="shared" si="51"/>
        <v>https://acs.figshare.com/articles/dataset/Computational_Study_on_Data_Integration_in_Chiral_Catalyst_Design_A_Case_Study_Using_Michael_Addition_Reactions/30773374\thttps://acs.figshare.com/articles/dataset/Computational_Study_on_Data_Integration_in_Chiral_Catalyst_Design_A_Case_Study_Using_Michael_Addition_Reactions/30773377</v>
      </c>
      <c r="Y211" s="1" t="str">
        <f t="shared" si="55"/>
        <v>--localSource c:/temp/acs2/data --targetDir c:/temp/acs2/$DOI$ --noDownload --readOnly  --pubDOI https://doi.org/10.1021/acs.joc.5c02438 --dataDOI "10.1021/acs.joc.5c02438https://acs.figshare.com/articles/dataset/Computational_Study_on_Data_Integration_in_Chiral_Catalyst_Design_A_Case_Study_Using_Michael_Addition_Reactions/30773374\thttps://acs.figshare.com/articles/dataset/Computational_Study_on_Data_Integration_in_Chiral_Catalyst_Design_A_Case_Study_Using_Michael_Addition_Reactions/30773377"</v>
      </c>
      <c r="Z211" t="str">
        <f t="shared" si="52"/>
        <v>&lt;br&gt;&lt;a href="https://doi.org/10.1021/acs.joc.5c02438.s003"&gt;https://doi.org/10.1021/acs.joc.5c02438.s003&lt;/a&gt;</v>
      </c>
      <c r="AA211" t="str">
        <f t="shared" si="53"/>
        <v/>
      </c>
    </row>
    <row r="212" spans="1:27" x14ac:dyDescent="0.35">
      <c r="A212">
        <v>211</v>
      </c>
      <c r="B212" s="5" t="str">
        <f t="shared" si="42"/>
        <v>jo5c02497</v>
      </c>
      <c r="C212" s="1" t="str">
        <f t="shared" si="43"/>
        <v>jo5c02497</v>
      </c>
      <c r="D212">
        <f>IF(F212=1,"",IF(AND(D211="",S211=S212),"",S212-SUM(F$2:F211)))</f>
        <v>108</v>
      </c>
      <c r="E212" t="str">
        <f t="shared" si="44"/>
        <v>0</v>
      </c>
      <c r="F212">
        <v>0</v>
      </c>
      <c r="H212">
        <v>39</v>
      </c>
      <c r="I212">
        <v>78</v>
      </c>
      <c r="M212" t="str">
        <f t="shared" si="45"/>
        <v>/*108 jo5c02497 */"https://doi.org/10.1021/acs.joc.5c02497.s001",//C–H/N–H Annulation of N‑Aryl Triazolinediones with Diazo Compounds: A Route to Cinnoline Analogues</v>
      </c>
      <c r="N212" t="e">
        <f t="shared" si="46"/>
        <v>#N/A</v>
      </c>
      <c r="O212" t="b">
        <f t="shared" si="47"/>
        <v>0</v>
      </c>
      <c r="P212" s="13" t="s">
        <v>91</v>
      </c>
      <c r="Q212" s="13" t="s">
        <v>92</v>
      </c>
      <c r="R212" t="str">
        <f t="shared" si="48"/>
        <v>001</v>
      </c>
      <c r="S212">
        <f t="shared" si="54"/>
        <v>146</v>
      </c>
      <c r="T212" s="13" t="str">
        <f>VLOOKUP(Q212,original!B:C,2,FALSE)</f>
        <v>C–H/N–H Annulation of N‑Aryl Triazolinediones with Diazo Compounds: A Route to Cinnoline Analogues</v>
      </c>
      <c r="U212" s="13" t="s">
        <v>93</v>
      </c>
      <c r="V212" t="str">
        <f t="shared" si="49"/>
        <v>jo5c02497</v>
      </c>
      <c r="W212" t="str">
        <f t="shared" si="50"/>
        <v>jo5c02497_si_001.zip</v>
      </c>
      <c r="X212" t="str">
        <f t="shared" si="51"/>
        <v>https://acs.figshare.com/articles/dataset/C_H_N_H_Annulation_of_i_N_i_Aryl_Triazolinediones_with_Diazo_Compounds_A_Route_to_Cinnoline_Analogues/30801271</v>
      </c>
      <c r="Y212" s="1" t="str">
        <f t="shared" si="55"/>
        <v>--localSource c:/temp/acs2/data --targetDir c:/temp/acs2/$DOI$ --noDownload --readOnly  --pubDOI https://doi.org/10.1021/acs.joc.5c02497 --dataDOI "10.1021/acs.joc.5c02497https://acs.figshare.com/articles/dataset/C_H_N_H_Annulation_of_i_N_i_Aryl_Triazolinediones_with_Diazo_Compounds_A_Route_to_Cinnoline_Analogues/30801271"</v>
      </c>
      <c r="Z212" t="str">
        <f t="shared" si="52"/>
        <v>&lt;br&gt;&lt;a href="https://doi.org/10.1021/acs.joc.5c02497.s001"&gt;https://doi.org/10.1021/acs.joc.5c02497.s001&lt;/a&gt;</v>
      </c>
      <c r="AA212" t="str">
        <f t="shared" si="53"/>
        <v/>
      </c>
    </row>
    <row r="213" spans="1:27" x14ac:dyDescent="0.35">
      <c r="A213">
        <v>212</v>
      </c>
      <c r="B213" s="5" t="str">
        <f t="shared" si="42"/>
        <v>jo5c02500</v>
      </c>
      <c r="C213" s="1" t="str">
        <f t="shared" si="43"/>
        <v>jo5c02500</v>
      </c>
      <c r="D213">
        <f>IF(F213=1,"",IF(AND(D212="",S212=S213),"",S213-SUM(F$2:F212)))</f>
        <v>109</v>
      </c>
      <c r="E213" t="str">
        <f t="shared" si="44"/>
        <v>0</v>
      </c>
      <c r="F213">
        <v>0</v>
      </c>
      <c r="H213">
        <v>2</v>
      </c>
      <c r="I213">
        <v>6</v>
      </c>
      <c r="M213" t="str">
        <f t="shared" si="45"/>
        <v>/*109 jo5c02500 */"https://doi.org/10.1021/acs.joc.5c02500.s001",//A Concise Approach to Enantioselective Synthesis of Euolutchuols A, B, and D and Their Structure Assignment</v>
      </c>
      <c r="N213" t="e">
        <f t="shared" si="46"/>
        <v>#N/A</v>
      </c>
      <c r="O213" t="b">
        <f t="shared" si="47"/>
        <v>0</v>
      </c>
      <c r="P213" s="13" t="s">
        <v>44</v>
      </c>
      <c r="Q213" s="13" t="s">
        <v>45</v>
      </c>
      <c r="R213" t="str">
        <f t="shared" si="48"/>
        <v>001</v>
      </c>
      <c r="S213">
        <f t="shared" si="54"/>
        <v>147</v>
      </c>
      <c r="T213" s="13" t="str">
        <f>VLOOKUP(Q213,original!B:C,2,FALSE)</f>
        <v>A Concise Approach to Enantioselective Synthesis of Euolutchuols A, B, and D and Their Structure Assignment</v>
      </c>
      <c r="U213" s="13" t="s">
        <v>47</v>
      </c>
      <c r="V213" t="str">
        <f t="shared" si="49"/>
        <v>jo5c02500</v>
      </c>
      <c r="W213" t="str">
        <f t="shared" si="50"/>
        <v>jo5c02500_si_001.zip</v>
      </c>
      <c r="X213" t="str">
        <f t="shared" si="51"/>
        <v>https://acs.figshare.com/articles/dataset/A_Concise_Approach_to_Enantioselective_Synthesis_of_Euolutchuols_A_B_and_D_and_Their_Structure_Assignment/30936764</v>
      </c>
      <c r="Y213" s="1" t="str">
        <f t="shared" si="55"/>
        <v>--localSource c:/temp/acs2/data --targetDir c:/temp/acs2/$DOI$ --noDownload --readOnly  --pubDOI https://doi.org/10.1021/acs.joc.5c02500 --dataDOI "10.1021/acs.joc.5c02500https://acs.figshare.com/articles/dataset/A_Concise_Approach_to_Enantioselective_Synthesis_of_Euolutchuols_A_B_and_D_and_Their_Structure_Assignment/30936764"</v>
      </c>
      <c r="Z213" t="str">
        <f t="shared" si="52"/>
        <v>&lt;br&gt;&lt;a href="https://doi.org/10.1021/acs.joc.5c02500.s001"&gt;https://doi.org/10.1021/acs.joc.5c02500.s001&lt;/a&gt;</v>
      </c>
      <c r="AA213" t="str">
        <f t="shared" si="53"/>
        <v/>
      </c>
    </row>
    <row r="214" spans="1:27" x14ac:dyDescent="0.35">
      <c r="A214">
        <v>213</v>
      </c>
      <c r="B214" s="5" t="str">
        <f t="shared" si="42"/>
        <v>jo5c02524</v>
      </c>
      <c r="C214" s="1" t="str">
        <f t="shared" si="43"/>
        <v>jo5c02524</v>
      </c>
      <c r="D214">
        <f>IF(F214=1,"",IF(AND(D213="",S213=S214),"",S214-SUM(F$2:F213)))</f>
        <v>110</v>
      </c>
      <c r="E214" t="str">
        <f t="shared" si="44"/>
        <v>0</v>
      </c>
      <c r="F214">
        <v>0</v>
      </c>
      <c r="H214">
        <v>19</v>
      </c>
      <c r="I214">
        <v>38</v>
      </c>
      <c r="J214">
        <v>18</v>
      </c>
      <c r="M214" t="str">
        <f t="shared" si="45"/>
        <v>/*110 jo5c02524 */"https://doi.org/10.1021/acs.joc.5c02524.s002",//Pd- and Cu-Cocatalyzed Anaerobic Olefin Aminoboration</v>
      </c>
      <c r="N214" t="e">
        <f t="shared" si="46"/>
        <v>#N/A</v>
      </c>
      <c r="O214" t="b">
        <f t="shared" si="47"/>
        <v>0</v>
      </c>
      <c r="P214" s="13" t="s">
        <v>73</v>
      </c>
      <c r="Q214" s="13" t="s">
        <v>74</v>
      </c>
      <c r="R214" t="str">
        <f t="shared" si="48"/>
        <v>002</v>
      </c>
      <c r="S214">
        <f t="shared" si="54"/>
        <v>148</v>
      </c>
      <c r="T214" s="13" t="str">
        <f>VLOOKUP(Q214,original!B:C,2,FALSE)</f>
        <v>Pd- and Cu-Cocatalyzed Anaerobic Olefin Aminoboration</v>
      </c>
      <c r="U214" s="13" t="s">
        <v>76</v>
      </c>
      <c r="V214" t="str">
        <f t="shared" si="49"/>
        <v>jo5c02524</v>
      </c>
      <c r="W214" t="str">
        <f t="shared" si="50"/>
        <v>jo5c02524_si_002.zip</v>
      </c>
      <c r="X214" t="str">
        <f t="shared" si="51"/>
        <v>https://acs.figshare.com/articles/dataset/Pd-_and_Cu-Cocatalyzed_Anaerobic_Olefin_Aminoboration/30866803</v>
      </c>
      <c r="Y214" s="1" t="str">
        <f t="shared" si="55"/>
        <v>--localSource c:/temp/acs2/data --targetDir c:/temp/acs2/$DOI$ --noDownload --readOnly  --pubDOI https://doi.org/10.1021/acs.joc.5c02524 --dataDOI "10.1021/acs.joc.5c02524https://acs.figshare.com/articles/dataset/Pd-_and_Cu-Cocatalyzed_Anaerobic_Olefin_Aminoboration/30866803"</v>
      </c>
      <c r="Z214" t="str">
        <f t="shared" si="52"/>
        <v>&lt;br&gt;&lt;a href="https://doi.org/10.1021/acs.joc.5c02524.s002"&gt;https://doi.org/10.1021/acs.joc.5c02524.s002&lt;/a&gt;</v>
      </c>
      <c r="AA214" t="str">
        <f t="shared" si="53"/>
        <v/>
      </c>
    </row>
    <row r="215" spans="1:27" x14ac:dyDescent="0.35">
      <c r="A215">
        <v>214</v>
      </c>
      <c r="B215" s="5" t="str">
        <f t="shared" si="42"/>
        <v>jo5c02577</v>
      </c>
      <c r="C215" s="1" t="str">
        <f t="shared" si="43"/>
        <v/>
      </c>
      <c r="D215">
        <f>IF(F215=1,"",IF(AND(D214="",S214=S215),"",S215-SUM(F$2:F214)))</f>
        <v>111</v>
      </c>
      <c r="E215" t="str">
        <f t="shared" si="44"/>
        <v>0</v>
      </c>
      <c r="F215">
        <v>0</v>
      </c>
      <c r="M215" t="str">
        <f t="shared" si="45"/>
        <v/>
      </c>
      <c r="N215" t="str">
        <f t="shared" si="46"/>
        <v>jo5c02577_si_001.pdb</v>
      </c>
      <c r="O215" t="b">
        <f t="shared" si="47"/>
        <v>1</v>
      </c>
      <c r="P215" s="13" t="s">
        <v>71</v>
      </c>
      <c r="Q215" s="13" t="s">
        <v>72</v>
      </c>
      <c r="R215" t="str">
        <f t="shared" si="48"/>
        <v>001</v>
      </c>
      <c r="S215">
        <f t="shared" si="54"/>
        <v>149</v>
      </c>
      <c r="T215" s="13" t="str">
        <f>VLOOKUP(Q215,original!B:C,2,FALSE)</f>
        <v>Total Synthesis and Biological Evaluation of Asterriquinol D Dimethyl Ether, Candidusin D, Kumbicins A–B, and Petromurins C–D as α‑Glucosidase Inhibitors</v>
      </c>
      <c r="U215" s="13" t="s">
        <v>68</v>
      </c>
      <c r="V215" t="str">
        <f t="shared" si="49"/>
        <v>jo5c02577</v>
      </c>
      <c r="W215" t="str">
        <f t="shared" si="50"/>
        <v>jo5c02577_si_001.zip</v>
      </c>
      <c r="X215" t="str">
        <f t="shared" si="51"/>
        <v>https://acs.figshare.com/articles/dataset/Total_Synthesis_and_Biological_Evaluation_of_Asterriquinol_D_Dimethyl_Ether_Candidusin_D_Kumbicins_A_B_and_Petromurins_C_D_as_Glucosidase_Inhibitors/30871905</v>
      </c>
      <c r="Y215" s="1" t="str">
        <f t="shared" si="55"/>
        <v/>
      </c>
      <c r="Z215" t="str">
        <f t="shared" si="52"/>
        <v>&lt;br&gt;&lt;a href="https://doi.org/10.1021/acs.joc.5c02577.s001"&gt;https://doi.org/10.1021/acs.joc.5c02577.s001&lt;/a&gt;</v>
      </c>
      <c r="AA215" t="str">
        <f t="shared" si="53"/>
        <v/>
      </c>
    </row>
    <row r="216" spans="1:27" x14ac:dyDescent="0.35">
      <c r="A216">
        <v>215</v>
      </c>
      <c r="B216" s="5" t="str">
        <f t="shared" si="42"/>
        <v>jo5c02577</v>
      </c>
      <c r="C216" s="1" t="str">
        <f t="shared" si="43"/>
        <v/>
      </c>
      <c r="D216">
        <f>IF(F216=1,"",IF(AND(D215="",S215=S216),"",S216-SUM(F$2:F215)))</f>
        <v>111</v>
      </c>
      <c r="E216" t="str">
        <f t="shared" si="44"/>
        <v>1</v>
      </c>
      <c r="F216">
        <v>0</v>
      </c>
      <c r="M216" t="str">
        <f t="shared" si="45"/>
        <v/>
      </c>
      <c r="N216" t="str">
        <f t="shared" si="46"/>
        <v>jo5c02577_si_002.pdb</v>
      </c>
      <c r="O216" t="b">
        <f t="shared" si="47"/>
        <v>1</v>
      </c>
      <c r="P216" s="13" t="s">
        <v>69</v>
      </c>
      <c r="Q216" s="13" t="s">
        <v>70</v>
      </c>
      <c r="R216" t="str">
        <f t="shared" si="48"/>
        <v>002</v>
      </c>
      <c r="S216">
        <f t="shared" si="54"/>
        <v>149</v>
      </c>
      <c r="T216" s="13" t="str">
        <f>VLOOKUP(Q216,original!B:C,2,FALSE)</f>
        <v>Total Synthesis and Biological Evaluation of Asterriquinol D Dimethyl Ether, Candidusin D, Kumbicins A–B, and Petromurins C–D as α‑Glucosidase Inhibitors</v>
      </c>
      <c r="U216" s="13" t="s">
        <v>68</v>
      </c>
      <c r="V216" t="str">
        <f t="shared" si="49"/>
        <v>jo5c02577</v>
      </c>
      <c r="W216" t="str">
        <f t="shared" si="50"/>
        <v>jo5c02577_si_002.zip</v>
      </c>
      <c r="X216" t="str">
        <f t="shared" si="51"/>
        <v>https://acs.figshare.com/articles/dataset/Total_Synthesis_and_Biological_Evaluation_of_Asterriquinol_D_Dimethyl_Ether_Candidusin_D_Kumbicins_A_B_and_Petromurins_C_D_as_Glucosidase_Inhibitors/30871905\thttps://acs.figshare.com/articles/dataset/Total_Synthesis_and_Biological_Evaluation_of_Asterriquinol_D_Dimethyl_Ether_Candidusin_D_Kumbicins_A_B_and_Petromurins_C_D_as_Glucosidase_Inhibitors/30871908</v>
      </c>
      <c r="Y216" s="1" t="str">
        <f t="shared" si="55"/>
        <v/>
      </c>
      <c r="Z216" t="str">
        <f t="shared" si="52"/>
        <v>&lt;br&gt;&lt;a href="https://doi.org/10.1021/acs.joc.5c02577.s002"&gt;https://doi.org/10.1021/acs.joc.5c02577.s002&lt;/a&gt;</v>
      </c>
      <c r="AA216" t="str">
        <f t="shared" si="53"/>
        <v/>
      </c>
    </row>
    <row r="217" spans="1:27" x14ac:dyDescent="0.35">
      <c r="A217">
        <v>216</v>
      </c>
      <c r="B217" s="5" t="str">
        <f t="shared" si="42"/>
        <v>jo5c02577</v>
      </c>
      <c r="C217" s="1" t="str">
        <f t="shared" si="43"/>
        <v>#jo5c02577 pdb</v>
      </c>
      <c r="D217" t="str">
        <f>IF(F217=1,"",IF(AND(D216="",S216=S217),"",S217-SUM(F$2:F216)))</f>
        <v/>
      </c>
      <c r="E217" t="str">
        <f t="shared" si="44"/>
        <v>1</v>
      </c>
      <c r="F217">
        <v>1</v>
      </c>
      <c r="G217" t="s">
        <v>1125</v>
      </c>
      <c r="M217" t="str">
        <f t="shared" si="45"/>
        <v/>
      </c>
      <c r="N217" t="str">
        <f t="shared" si="46"/>
        <v>jo5c02577_si_003.pdb</v>
      </c>
      <c r="O217" t="b">
        <f t="shared" si="47"/>
        <v>1</v>
      </c>
      <c r="P217" s="13" t="s">
        <v>66</v>
      </c>
      <c r="Q217" s="13" t="s">
        <v>67</v>
      </c>
      <c r="R217" t="str">
        <f t="shared" si="48"/>
        <v>003</v>
      </c>
      <c r="S217">
        <f t="shared" si="54"/>
        <v>149</v>
      </c>
      <c r="T217" s="13" t="str">
        <f>VLOOKUP(Q217,original!B:C,2,FALSE)</f>
        <v>Total Synthesis and Biological Evaluation of Asterriquinol D Dimethyl Ether, Candidusin D, Kumbicins A–B, and Petromurins C–D as α‑Glucosidase Inhibitors</v>
      </c>
      <c r="U217" s="13" t="s">
        <v>68</v>
      </c>
      <c r="V217" t="str">
        <f t="shared" si="49"/>
        <v>jo5c02577</v>
      </c>
      <c r="W217" t="str">
        <f t="shared" si="50"/>
        <v>jo5c02577_si_003.zip</v>
      </c>
      <c r="X217" t="str">
        <f t="shared" si="51"/>
        <v>https://acs.figshare.com/articles/dataset/Total_Synthesis_and_Biological_Evaluation_of_Asterriquinol_D_Dimethyl_Ether_Candidusin_D_Kumbicins_A_B_and_Petromurins_C_D_as_Glucosidase_Inhibitors/30871905\thttps://acs.figshare.com/articles/dataset/Total_Synthesis_and_Biological_Evaluation_of_Asterriquinol_D_Dimethyl_Ether_Candidusin_D_Kumbicins_A_B_and_Petromurins_C_D_as_Glucosidase_Inhibitors/30871908\thttps://acs.figshare.com/articles/dataset/Total_Synthesis_and_Biological_Evaluation_of_Asterriquinol_D_Dimethyl_Ether_Candidusin_D_Kumbicins_A_B_and_Petromurins_C_D_as_Glucosidase_Inhibitors/30871911</v>
      </c>
      <c r="Y217" s="1" t="str">
        <f t="shared" si="55"/>
        <v>--localSource c:/temp/acs2/data --targetDir c:/temp/acs2/$DOI$ --noDownload --readOnly  --pubDOI https://doi.org/10.1021/acs.joc.5c02577 --dataDOI "10.1021/acs.joc.5c02577https://acs.figshare.com/articles/dataset/Total_Synthesis_and_Biological_Evaluation_of_Asterriquinol_D_Dimethyl_Ether_Candidusin_D_Kumbicins_A_B_and_Petromurins_C_D_as_Glucosidase_Inhibitors/30871905\thttps://acs.figshare.com/articles/dataset/Total_Synthesis_and_Biological_Evaluation_of_Asterriquinol_D_Dimethyl_Ether_Candidusin_D_Kumbicins_A_B_and_Petromurins_C_D_as_Glucosidase_Inhibitors/30871908\thttps://acs.figshare.com/articles/dataset/Total_Synthesis_and_Biological_Evaluation_of_Asterriquinol_D_Dimethyl_Ether_Candidusin_D_Kumbicins_A_B_and_Petromurins_C_D_as_Glucosidase_Inhibitors/30871911"</v>
      </c>
      <c r="Z217" t="str">
        <f t="shared" si="52"/>
        <v>&lt;br&gt;&lt;a href="https://doi.org/10.1021/acs.joc.5c02577.s003"&gt;https://doi.org/10.1021/acs.joc.5c02577.s003&lt;/a&gt;</v>
      </c>
      <c r="AA217" t="str">
        <f t="shared" si="53"/>
        <v/>
      </c>
    </row>
    <row r="218" spans="1:27" x14ac:dyDescent="0.35">
      <c r="A218">
        <v>217</v>
      </c>
      <c r="B218" s="5" t="str">
        <f t="shared" si="42"/>
        <v>jo5c02653</v>
      </c>
      <c r="C218" s="1" t="str">
        <f t="shared" si="43"/>
        <v>jo5c02653</v>
      </c>
      <c r="D218">
        <f>IF(F218=1,"",IF(AND(D217="",S217=S218),"",S218-SUM(F$2:F217)))</f>
        <v>111</v>
      </c>
      <c r="E218" t="str">
        <f t="shared" si="44"/>
        <v>0</v>
      </c>
      <c r="F218">
        <v>0</v>
      </c>
      <c r="H218">
        <v>39</v>
      </c>
      <c r="I218">
        <v>88</v>
      </c>
      <c r="J218">
        <v>39</v>
      </c>
      <c r="M218" t="str">
        <f t="shared" si="45"/>
        <v>/*111 jo5c02653 */"https://doi.org/10.1021/acs.joc.5c02653.s001",//Visible-Light-Induced Amination of Pyridylphosphonium Salts: Synthesis of Heteroarylamines via Radical–Radical Coupling</v>
      </c>
      <c r="N218" t="e">
        <f t="shared" si="46"/>
        <v>#N/A</v>
      </c>
      <c r="O218" t="b">
        <f t="shared" si="47"/>
        <v>0</v>
      </c>
      <c r="P218" s="13" t="s">
        <v>30</v>
      </c>
      <c r="Q218" s="13" t="s">
        <v>31</v>
      </c>
      <c r="R218" t="str">
        <f t="shared" si="48"/>
        <v>001</v>
      </c>
      <c r="S218">
        <f t="shared" si="54"/>
        <v>150</v>
      </c>
      <c r="T218" s="13" t="str">
        <f>VLOOKUP(Q218,original!B:C,2,FALSE)</f>
        <v>Visible-Light-Induced Amination of Pyridylphosphonium Salts: Synthesis of Heteroarylamines via Radical–Radical Coupling</v>
      </c>
      <c r="U218" s="13" t="s">
        <v>32</v>
      </c>
      <c r="V218" t="str">
        <f t="shared" si="49"/>
        <v>jo5c02653</v>
      </c>
      <c r="W218" t="str">
        <f t="shared" si="50"/>
        <v>jo5c02653_si_001.zip</v>
      </c>
      <c r="X218" t="str">
        <f t="shared" si="51"/>
        <v>https://acs.figshare.com/articles/dataset/Visible-Light-Induced_Amination_of_Pyridylphosphonium_Salts_Synthesis_of_Heteroarylamines_via_Radical_Radical_Coupling/30946644</v>
      </c>
      <c r="Y218" s="1" t="str">
        <f t="shared" si="55"/>
        <v>--localSource c:/temp/acs2/data --targetDir c:/temp/acs2/$DOI$ --noDownload --readOnly  --pubDOI https://doi.org/10.1021/acs.joc.5c02653 --dataDOI "10.1021/acs.joc.5c02653https://acs.figshare.com/articles/dataset/Visible-Light-Induced_Amination_of_Pyridylphosphonium_Salts_Synthesis_of_Heteroarylamines_via_Radical_Radical_Coupling/30946644"</v>
      </c>
      <c r="Z218" t="str">
        <f t="shared" si="52"/>
        <v>&lt;br&gt;&lt;a href="https://doi.org/10.1021/acs.joc.5c02653.s001"&gt;https://doi.org/10.1021/acs.joc.5c02653.s001&lt;/a&gt;</v>
      </c>
      <c r="AA218" t="str">
        <f t="shared" si="53"/>
        <v/>
      </c>
    </row>
    <row r="219" spans="1:27" x14ac:dyDescent="0.35">
      <c r="A219">
        <v>218</v>
      </c>
      <c r="B219" s="5" t="str">
        <f t="shared" si="42"/>
        <v>jo5c02700</v>
      </c>
      <c r="C219" s="1" t="str">
        <f t="shared" si="43"/>
        <v>#jo5c02700 xyz</v>
      </c>
      <c r="D219" t="str">
        <f>IF(F219=1,"",IF(AND(D218="",S218=S219),"",S219-SUM(F$2:F218)))</f>
        <v/>
      </c>
      <c r="E219" t="str">
        <f t="shared" si="44"/>
        <v>0</v>
      </c>
      <c r="F219">
        <v>1</v>
      </c>
      <c r="G219" t="s">
        <v>1097</v>
      </c>
      <c r="M219" t="str">
        <f t="shared" si="45"/>
        <v/>
      </c>
      <c r="N219" t="str">
        <f t="shared" si="46"/>
        <v>jo5c02700_si_002.xyz</v>
      </c>
      <c r="O219" t="b">
        <f t="shared" si="47"/>
        <v>1</v>
      </c>
      <c r="P219" s="13" t="s">
        <v>59</v>
      </c>
      <c r="Q219" s="13" t="s">
        <v>60</v>
      </c>
      <c r="R219" t="str">
        <f t="shared" si="48"/>
        <v>002</v>
      </c>
      <c r="S219">
        <f t="shared" si="54"/>
        <v>151</v>
      </c>
      <c r="T219" s="13" t="str">
        <f>VLOOKUP(Q219,original!B:C,2,FALSE)</f>
        <v>Synthesis of (2S,4S)‑5,5,5,5′,5′-Pentafluoroleucine and (2S,4R)‑5,5,5-Trifluoroleucine via Stereoselective Hydrogenation and Hydrodefluorination</v>
      </c>
      <c r="U219" s="13" t="s">
        <v>61</v>
      </c>
      <c r="V219" t="str">
        <f t="shared" si="49"/>
        <v>jo5c02700</v>
      </c>
      <c r="W219" t="str">
        <f t="shared" si="50"/>
        <v>jo5c02700_si_002.zip</v>
      </c>
      <c r="X219" t="str">
        <f t="shared" si="51"/>
        <v>https://acs.figshare.com/articles/dataset/Synthesis_of_2_i_S_i_4_i_S_i_5_5_5_5_5_-Pentafluoroleucine_and_2_i_S_i_4_i_R_i_5_5_5-Trifluoroleucine_via_Stereoselective_Hydrogenation_and_Hydrodefluorination/30906064</v>
      </c>
      <c r="Y219" s="1" t="str">
        <f t="shared" si="55"/>
        <v>--localSource c:/temp/acs2/data --targetDir c:/temp/acs2/$DOI$ --noDownload --readOnly  --pubDOI https://doi.org/10.1021/acs.joc.5c02700 --dataDOI "10.1021/acs.joc.5c02700https://acs.figshare.com/articles/dataset/Synthesis_of_2_i_S_i_4_i_S_i_5_5_5_5_5_-Pentafluoroleucine_and_2_i_S_i_4_i_R_i_5_5_5-Trifluoroleucine_via_Stereoselective_Hydrogenation_and_Hydrodefluorination/30906064"</v>
      </c>
      <c r="Z219" t="str">
        <f t="shared" si="52"/>
        <v>&lt;br&gt;&lt;a href="https://doi.org/10.1021/acs.joc.5c02700.s002"&gt;https://doi.org/10.1021/acs.joc.5c02700.s002&lt;/a&gt;</v>
      </c>
      <c r="AA219" t="str">
        <f t="shared" si="53"/>
        <v/>
      </c>
    </row>
    <row r="220" spans="1:27" x14ac:dyDescent="0.35">
      <c r="A220">
        <v>219</v>
      </c>
      <c r="B220" s="5" t="str">
        <f t="shared" si="42"/>
        <v>jo5c02735</v>
      </c>
      <c r="C220" s="1" t="str">
        <f t="shared" si="43"/>
        <v>jo5c02735</v>
      </c>
      <c r="D220">
        <f>IF(F220=1,"",IF(AND(D219="",S219=S220),"",S220-SUM(F$2:F219)))</f>
        <v>112</v>
      </c>
      <c r="E220" t="str">
        <f t="shared" si="44"/>
        <v>0</v>
      </c>
      <c r="F220">
        <v>0</v>
      </c>
      <c r="H220">
        <v>33</v>
      </c>
      <c r="I220">
        <v>193</v>
      </c>
      <c r="M220" t="str">
        <f t="shared" si="45"/>
        <v>/*112 jo5c02735 */"https://doi.org/10.1021/acs.joc.5c02735.s002",//Enantioselective Organocatalytic Desymmetric Acylation as an Access to Orthogonally Protected myo-Inositols</v>
      </c>
      <c r="N220" t="e">
        <f t="shared" si="46"/>
        <v>#N/A</v>
      </c>
      <c r="O220" t="b">
        <f t="shared" si="47"/>
        <v>0</v>
      </c>
      <c r="P220" s="13" t="s">
        <v>36</v>
      </c>
      <c r="Q220" s="13" t="s">
        <v>37</v>
      </c>
      <c r="R220" t="str">
        <f t="shared" si="48"/>
        <v>002</v>
      </c>
      <c r="S220">
        <f t="shared" si="54"/>
        <v>152</v>
      </c>
      <c r="T220" s="13" t="str">
        <f>VLOOKUP(Q220,original!B:C,2,FALSE)</f>
        <v>Enantioselective Organocatalytic Desymmetric Acylation as an Access to Orthogonally Protected myo-Inositols</v>
      </c>
      <c r="U220" s="13" t="s">
        <v>39</v>
      </c>
      <c r="V220" t="str">
        <f t="shared" si="49"/>
        <v>jo5c02735</v>
      </c>
      <c r="W220" t="str">
        <f t="shared" si="50"/>
        <v>jo5c02735_si_002.zip</v>
      </c>
      <c r="X220" t="str">
        <f t="shared" si="51"/>
        <v>https://acs.figshare.com/articles/dataset/Enantioselective_Organocatalytic_Desymmetric_Acylation_as_an_Access_to_Orthogonally_Protected_myo-Inositols/30938828</v>
      </c>
      <c r="Y220" s="1" t="str">
        <f t="shared" si="55"/>
        <v>--localSource c:/temp/acs2/data --targetDir c:/temp/acs2/$DOI$ --noDownload --readOnly  --pubDOI https://doi.org/10.1021/acs.joc.5c02735 --dataDOI "10.1021/acs.joc.5c02735https://acs.figshare.com/articles/dataset/Enantioselective_Organocatalytic_Desymmetric_Acylation_as_an_Access_to_Orthogonally_Protected_myo-Inositols/30938828"</v>
      </c>
      <c r="Z220" t="str">
        <f t="shared" si="52"/>
        <v>&lt;br&gt;&lt;a href="https://doi.org/10.1021/acs.joc.5c02735.s002"&gt;https://doi.org/10.1021/acs.joc.5c02735.s002&lt;/a&gt;</v>
      </c>
      <c r="AA220" t="str">
        <f t="shared" si="53"/>
        <v/>
      </c>
    </row>
    <row r="221" spans="1:27" x14ac:dyDescent="0.35">
      <c r="A221">
        <v>220</v>
      </c>
      <c r="B221" s="5" t="str">
        <f t="shared" si="42"/>
        <v>jo5c02870</v>
      </c>
      <c r="C221" s="1" t="str">
        <f t="shared" si="43"/>
        <v>jo5c02870</v>
      </c>
      <c r="D221">
        <f>IF(F221=1,"",IF(AND(D220="",S220=S221),"",S221-SUM(F$2:F220)))</f>
        <v>113</v>
      </c>
      <c r="E221" t="str">
        <f t="shared" si="44"/>
        <v>0</v>
      </c>
      <c r="F221">
        <v>0</v>
      </c>
      <c r="H221">
        <v>86</v>
      </c>
      <c r="I221">
        <v>262</v>
      </c>
      <c r="M221" t="str">
        <f t="shared" si="45"/>
        <v>/*113 jo5c02870 */"https://doi.org/10.1021/acs.joc.5c02870.s002",//Synthesis of Quinolizidine-Based 1,4-Azaphosphinines via Cyclization of Heteroarylmethyl(alkynyl)phosphinates</v>
      </c>
      <c r="N221" t="e">
        <f t="shared" si="46"/>
        <v>#N/A</v>
      </c>
      <c r="O221" t="b">
        <f t="shared" si="47"/>
        <v>0</v>
      </c>
      <c r="P221" s="13" t="s">
        <v>40</v>
      </c>
      <c r="Q221" s="13" t="s">
        <v>41</v>
      </c>
      <c r="R221" t="str">
        <f t="shared" si="48"/>
        <v>002</v>
      </c>
      <c r="S221">
        <f t="shared" si="54"/>
        <v>153</v>
      </c>
      <c r="T221" s="13" t="str">
        <f>VLOOKUP(Q221,original!B:C,2,FALSE)</f>
        <v>Synthesis of Quinolizidine-Based 1,4-Azaphosphinines via Cyclization of Heteroarylmethyl(alkynyl)phosphinates</v>
      </c>
      <c r="U221" s="13" t="s">
        <v>43</v>
      </c>
      <c r="V221" t="str">
        <f t="shared" si="49"/>
        <v>jo5c02870</v>
      </c>
      <c r="W221" t="str">
        <f t="shared" si="50"/>
        <v>jo5c02870_si_002.zip</v>
      </c>
      <c r="X221" t="str">
        <f t="shared" si="51"/>
        <v>https://acs.figshare.com/articles/dataset/Synthesis_of_Quinolizidine-Based_1_4-Azaphosphinines_via_Cyclization_of_Heteroarylmethyl_alkynyl_phosphinates/30938143</v>
      </c>
      <c r="Y221" s="1" t="str">
        <f t="shared" si="55"/>
        <v>--localSource c:/temp/acs2/data --targetDir c:/temp/acs2/$DOI$ --noDownload --readOnly  --pubDOI https://doi.org/10.1021/acs.joc.5c02870 --dataDOI "10.1021/acs.joc.5c02870https://acs.figshare.com/articles/dataset/Synthesis_of_Quinolizidine-Based_1_4-Azaphosphinines_via_Cyclization_of_Heteroarylmethyl_alkynyl_phosphinates/30938143"</v>
      </c>
      <c r="Z221" t="str">
        <f t="shared" si="52"/>
        <v>&lt;br&gt;&lt;a href="https://doi.org/10.1021/acs.joc.5c02870.s002"&gt;https://doi.org/10.1021/acs.joc.5c02870.s002&lt;/a&gt;</v>
      </c>
      <c r="AA221" t="str">
        <f t="shared" si="53"/>
        <v/>
      </c>
    </row>
    <row r="222" spans="1:27" x14ac:dyDescent="0.35">
      <c r="A222">
        <v>221</v>
      </c>
      <c r="B222" s="5" t="str">
        <f t="shared" si="42"/>
        <v>ol4c03845</v>
      </c>
      <c r="C222" s="1" t="str">
        <f t="shared" si="43"/>
        <v/>
      </c>
      <c r="D222">
        <f>IF(F222=1,"",IF(AND(D221="",S221=S222),"",S222-SUM(F$2:F221)))</f>
        <v>114</v>
      </c>
      <c r="E222" t="str">
        <f t="shared" si="44"/>
        <v>0</v>
      </c>
      <c r="F222">
        <v>0</v>
      </c>
      <c r="M222" t="str">
        <f t="shared" si="45"/>
        <v>/*114 ol4c03845 */"https://doi.org/10.1021/acs.orglett.4c03845.s001",//Enantio- and Regioselective Propargylation and Allenylation of β,γ-Unsaturated α‑Ketoesters with Allenyl Boronate Regulated by Chiral Copper/Zinc</v>
      </c>
      <c r="N222" t="e">
        <f t="shared" si="46"/>
        <v>#N/A</v>
      </c>
      <c r="O222" t="b">
        <f t="shared" si="47"/>
        <v>0</v>
      </c>
      <c r="P222" s="13" t="s">
        <v>963</v>
      </c>
      <c r="Q222" s="13" t="s">
        <v>964</v>
      </c>
      <c r="R222" t="str">
        <f t="shared" si="48"/>
        <v>001</v>
      </c>
      <c r="S222">
        <f t="shared" si="54"/>
        <v>154</v>
      </c>
      <c r="T222" s="13" t="str">
        <f>VLOOKUP(Q222,original!B:C,2,FALSE)</f>
        <v>Enantio- and Regioselective Propargylation and Allenylation of β,γ-Unsaturated α‑Ketoesters with Allenyl Boronate Regulated by Chiral Copper/Zinc</v>
      </c>
      <c r="U222" s="13" t="s">
        <v>950</v>
      </c>
      <c r="V222" t="str">
        <f t="shared" si="49"/>
        <v>ol4c03845</v>
      </c>
      <c r="W222" t="str">
        <f t="shared" si="50"/>
        <v>ol4c03845_si_001.zip</v>
      </c>
      <c r="X222" t="str">
        <f t="shared" si="51"/>
        <v>https://acs.figshare.com/articles/dataset/Enantio-_and_Regioselective_Propargylation_and_Allenylation_of_-Unsaturated_Ketoesters_with_Allenyl_Boronate_Regulated_by_Chiral_Copper_Zinc/28324092</v>
      </c>
      <c r="Y222" s="1" t="str">
        <f t="shared" si="55"/>
        <v/>
      </c>
      <c r="Z222" t="str">
        <f t="shared" si="52"/>
        <v>&lt;br&gt;&lt;a href="https://doi.org/10.1021/acs.orglett.4c03845.s001"&gt;https://doi.org/10.1021/acs.orglett.4c03845.s001&lt;/a&gt;</v>
      </c>
      <c r="AA222" t="str">
        <f t="shared" si="53"/>
        <v/>
      </c>
    </row>
    <row r="223" spans="1:27" x14ac:dyDescent="0.35">
      <c r="A223">
        <v>222</v>
      </c>
      <c r="B223" s="5" t="str">
        <f t="shared" si="42"/>
        <v>ol4c03845</v>
      </c>
      <c r="C223" s="1" t="str">
        <f t="shared" si="43"/>
        <v/>
      </c>
      <c r="D223">
        <f>IF(F223=1,"",IF(AND(D222="",S222=S223),"",S223-SUM(F$2:F222)))</f>
        <v>114</v>
      </c>
      <c r="E223" t="str">
        <f t="shared" si="44"/>
        <v>1</v>
      </c>
      <c r="F223">
        <v>0</v>
      </c>
      <c r="M223" t="str">
        <f t="shared" si="45"/>
        <v>/*114 ol4c03845 */"https://doi.org/10.1021/acs.orglett.4c03845.s002",//Enantio- and Regioselective Propargylation and Allenylation of β,γ-Unsaturated α‑Ketoesters with Allenyl Boronate Regulated by Chiral Copper/Zinc</v>
      </c>
      <c r="N223" t="e">
        <f t="shared" si="46"/>
        <v>#N/A</v>
      </c>
      <c r="O223" t="b">
        <f t="shared" si="47"/>
        <v>0</v>
      </c>
      <c r="P223" s="13" t="s">
        <v>961</v>
      </c>
      <c r="Q223" s="13" t="s">
        <v>962</v>
      </c>
      <c r="R223" t="str">
        <f t="shared" si="48"/>
        <v>002</v>
      </c>
      <c r="S223">
        <f t="shared" si="54"/>
        <v>154</v>
      </c>
      <c r="T223" s="13" t="str">
        <f>VLOOKUP(Q223,original!B:C,2,FALSE)</f>
        <v>Enantio- and Regioselective Propargylation and Allenylation of β,γ-Unsaturated α‑Ketoesters with Allenyl Boronate Regulated by Chiral Copper/Zinc</v>
      </c>
      <c r="U223" s="13" t="s">
        <v>950</v>
      </c>
      <c r="V223" t="str">
        <f t="shared" si="49"/>
        <v>ol4c03845</v>
      </c>
      <c r="W223" t="str">
        <f t="shared" si="50"/>
        <v>ol4c03845_si_002.zip</v>
      </c>
      <c r="X223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</v>
      </c>
      <c r="Y223" s="1" t="str">
        <f t="shared" si="55"/>
        <v/>
      </c>
      <c r="Z223" t="str">
        <f t="shared" si="52"/>
        <v>&lt;br&gt;&lt;a href="https://doi.org/10.1021/acs.orglett.4c03845.s002"&gt;https://doi.org/10.1021/acs.orglett.4c03845.s002&lt;/a&gt;</v>
      </c>
      <c r="AA223" t="str">
        <f t="shared" si="53"/>
        <v/>
      </c>
    </row>
    <row r="224" spans="1:27" x14ac:dyDescent="0.35">
      <c r="A224">
        <v>223</v>
      </c>
      <c r="B224" s="5" t="str">
        <f t="shared" si="42"/>
        <v>ol4c03845</v>
      </c>
      <c r="C224" s="1" t="str">
        <f t="shared" si="43"/>
        <v/>
      </c>
      <c r="D224">
        <f>IF(F224=1,"",IF(AND(D223="",S223=S224),"",S224-SUM(F$2:F223)))</f>
        <v>114</v>
      </c>
      <c r="E224" t="str">
        <f t="shared" si="44"/>
        <v>1</v>
      </c>
      <c r="F224">
        <v>0</v>
      </c>
      <c r="M224" t="str">
        <f t="shared" si="45"/>
        <v>/*114 ol4c03845 */"https://doi.org/10.1021/acs.orglett.4c03845.s003",//Enantio- and Regioselective Propargylation and Allenylation of β,γ-Unsaturated α‑Ketoesters with Allenyl Boronate Regulated by Chiral Copper/Zinc</v>
      </c>
      <c r="N224" t="e">
        <f t="shared" si="46"/>
        <v>#N/A</v>
      </c>
      <c r="O224" t="b">
        <f t="shared" si="47"/>
        <v>0</v>
      </c>
      <c r="P224" s="13" t="s">
        <v>959</v>
      </c>
      <c r="Q224" s="13" t="s">
        <v>960</v>
      </c>
      <c r="R224" t="str">
        <f t="shared" si="48"/>
        <v>003</v>
      </c>
      <c r="S224">
        <f t="shared" si="54"/>
        <v>154</v>
      </c>
      <c r="T224" s="13" t="str">
        <f>VLOOKUP(Q224,original!B:C,2,FALSE)</f>
        <v>Enantio- and Regioselective Propargylation and Allenylation of β,γ-Unsaturated α‑Ketoesters with Allenyl Boronate Regulated by Chiral Copper/Zinc</v>
      </c>
      <c r="U224" s="13" t="s">
        <v>950</v>
      </c>
      <c r="V224" t="str">
        <f t="shared" si="49"/>
        <v>ol4c03845</v>
      </c>
      <c r="W224" t="str">
        <f t="shared" si="50"/>
        <v>ol4c03845_si_003.zip</v>
      </c>
      <c r="X224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</v>
      </c>
      <c r="Y224" s="1" t="str">
        <f t="shared" si="55"/>
        <v/>
      </c>
      <c r="Z224" t="str">
        <f t="shared" si="52"/>
        <v>&lt;br&gt;&lt;a href="https://doi.org/10.1021/acs.orglett.4c03845.s003"&gt;https://doi.org/10.1021/acs.orglett.4c03845.s003&lt;/a&gt;</v>
      </c>
      <c r="AA224" t="str">
        <f t="shared" si="53"/>
        <v/>
      </c>
    </row>
    <row r="225" spans="1:27" x14ac:dyDescent="0.35">
      <c r="A225">
        <v>224</v>
      </c>
      <c r="B225" s="5" t="str">
        <f t="shared" si="42"/>
        <v>ol4c03845</v>
      </c>
      <c r="C225" s="1" t="str">
        <f t="shared" si="43"/>
        <v/>
      </c>
      <c r="D225">
        <f>IF(F225=1,"",IF(AND(D224="",S224=S225),"",S225-SUM(F$2:F224)))</f>
        <v>114</v>
      </c>
      <c r="E225" t="str">
        <f t="shared" si="44"/>
        <v>1</v>
      </c>
      <c r="F225">
        <v>0</v>
      </c>
      <c r="M225" t="str">
        <f t="shared" si="45"/>
        <v>/*114 ol4c03845 */"https://doi.org/10.1021/acs.orglett.4c03845.s004",//Enantio- and Regioselective Propargylation and Allenylation of β,γ-Unsaturated α‑Ketoesters with Allenyl Boronate Regulated by Chiral Copper/Zinc</v>
      </c>
      <c r="N225" t="e">
        <f t="shared" si="46"/>
        <v>#N/A</v>
      </c>
      <c r="O225" t="b">
        <f t="shared" si="47"/>
        <v>0</v>
      </c>
      <c r="P225" s="13" t="s">
        <v>957</v>
      </c>
      <c r="Q225" s="13" t="s">
        <v>958</v>
      </c>
      <c r="R225" t="str">
        <f t="shared" si="48"/>
        <v>004</v>
      </c>
      <c r="S225">
        <f t="shared" si="54"/>
        <v>154</v>
      </c>
      <c r="T225" s="13" t="str">
        <f>VLOOKUP(Q225,original!B:C,2,FALSE)</f>
        <v>Enantio- and Regioselective Propargylation and Allenylation of β,γ-Unsaturated α‑Ketoesters with Allenyl Boronate Regulated by Chiral Copper/Zinc</v>
      </c>
      <c r="U225" s="13" t="s">
        <v>950</v>
      </c>
      <c r="V225" t="str">
        <f t="shared" si="49"/>
        <v>ol4c03845</v>
      </c>
      <c r="W225" t="str">
        <f t="shared" si="50"/>
        <v>ol4c03845_si_004.zip</v>
      </c>
      <c r="X225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\thttps://acs.figshare.com/articles/dataset/Enantio-_and_Regioselective_Propargylation_and_Allenylation_of_-Unsaturated_Ketoesters_with_Allenyl_Boronate_Regulated_by_Chiral_Copper_Zinc/28324101</v>
      </c>
      <c r="Y225" s="1" t="str">
        <f t="shared" si="55"/>
        <v/>
      </c>
      <c r="Z225" t="str">
        <f t="shared" si="52"/>
        <v>&lt;br&gt;&lt;a href="https://doi.org/10.1021/acs.orglett.4c03845.s004"&gt;https://doi.org/10.1021/acs.orglett.4c03845.s004&lt;/a&gt;</v>
      </c>
      <c r="AA225" t="str">
        <f t="shared" si="53"/>
        <v/>
      </c>
    </row>
    <row r="226" spans="1:27" x14ac:dyDescent="0.35">
      <c r="A226">
        <v>225</v>
      </c>
      <c r="B226" s="5" t="str">
        <f t="shared" si="42"/>
        <v>ol4c03845</v>
      </c>
      <c r="C226" s="1" t="str">
        <f t="shared" si="43"/>
        <v/>
      </c>
      <c r="D226">
        <f>IF(F226=1,"",IF(AND(D225="",S225=S226),"",S226-SUM(F$2:F225)))</f>
        <v>114</v>
      </c>
      <c r="E226" t="str">
        <f t="shared" si="44"/>
        <v>1</v>
      </c>
      <c r="F226">
        <v>0</v>
      </c>
      <c r="M226" t="str">
        <f t="shared" si="45"/>
        <v>/*114 ol4c03845 */"https://doi.org/10.1021/acs.orglett.4c03845.s005",//Enantio- and Regioselective Propargylation and Allenylation of β,γ-Unsaturated α‑Ketoesters with Allenyl Boronate Regulated by Chiral Copper/Zinc</v>
      </c>
      <c r="N226" t="e">
        <f t="shared" si="46"/>
        <v>#N/A</v>
      </c>
      <c r="O226" t="b">
        <f t="shared" si="47"/>
        <v>0</v>
      </c>
      <c r="P226" s="13" t="s">
        <v>955</v>
      </c>
      <c r="Q226" s="13" t="s">
        <v>956</v>
      </c>
      <c r="R226" t="str">
        <f t="shared" si="48"/>
        <v>005</v>
      </c>
      <c r="S226">
        <f t="shared" si="54"/>
        <v>154</v>
      </c>
      <c r="T226" s="13" t="str">
        <f>VLOOKUP(Q226,original!B:C,2,FALSE)</f>
        <v>Enantio- and Regioselective Propargylation and Allenylation of β,γ-Unsaturated α‑Ketoesters with Allenyl Boronate Regulated by Chiral Copper/Zinc</v>
      </c>
      <c r="U226" s="13" t="s">
        <v>950</v>
      </c>
      <c r="V226" t="str">
        <f t="shared" si="49"/>
        <v>ol4c03845</v>
      </c>
      <c r="W226" t="str">
        <f t="shared" si="50"/>
        <v>ol4c03845_si_005.zip</v>
      </c>
      <c r="X226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\thttps://acs.figshare.com/articles/dataset/Enantio-_and_Regioselective_Propargylation_and_Allenylation_of_-Unsaturated_Ketoesters_with_Allenyl_Boronate_Regulated_by_Chiral_Copper_Zinc/28324101\thttps://acs.figshare.com/articles/dataset/Enantio-_and_Regioselective_Propargylation_and_Allenylation_of_-Unsaturated_Ketoesters_with_Allenyl_Boronate_Regulated_by_Chiral_Copper_Zinc/28324104</v>
      </c>
      <c r="Y226" s="1" t="str">
        <f t="shared" si="55"/>
        <v/>
      </c>
      <c r="Z226" t="str">
        <f t="shared" si="52"/>
        <v>&lt;br&gt;&lt;a href="https://doi.org/10.1021/acs.orglett.4c03845.s005"&gt;https://doi.org/10.1021/acs.orglett.4c03845.s005&lt;/a&gt;</v>
      </c>
      <c r="AA226" t="str">
        <f t="shared" si="53"/>
        <v/>
      </c>
    </row>
    <row r="227" spans="1:27" x14ac:dyDescent="0.35">
      <c r="A227">
        <v>226</v>
      </c>
      <c r="B227" s="5" t="str">
        <f t="shared" si="42"/>
        <v>ol4c03845</v>
      </c>
      <c r="C227" s="1" t="str">
        <f t="shared" si="43"/>
        <v/>
      </c>
      <c r="D227">
        <f>IF(F227=1,"",IF(AND(D226="",S226=S227),"",S227-SUM(F$2:F226)))</f>
        <v>114</v>
      </c>
      <c r="E227" t="str">
        <f t="shared" si="44"/>
        <v>1</v>
      </c>
      <c r="F227">
        <v>0</v>
      </c>
      <c r="M227" t="str">
        <f t="shared" si="45"/>
        <v>/*114 ol4c03845 */"https://doi.org/10.1021/acs.orglett.4c03845.s006",//Enantio- and Regioselective Propargylation and Allenylation of β,γ-Unsaturated α‑Ketoesters with Allenyl Boronate Regulated by Chiral Copper/Zinc</v>
      </c>
      <c r="N227" t="e">
        <f t="shared" si="46"/>
        <v>#N/A</v>
      </c>
      <c r="O227" t="b">
        <f t="shared" si="47"/>
        <v>0</v>
      </c>
      <c r="P227" s="13" t="s">
        <v>953</v>
      </c>
      <c r="Q227" s="13" t="s">
        <v>954</v>
      </c>
      <c r="R227" t="str">
        <f t="shared" si="48"/>
        <v>006</v>
      </c>
      <c r="S227">
        <f t="shared" si="54"/>
        <v>154</v>
      </c>
      <c r="T227" s="13" t="str">
        <f>VLOOKUP(Q227,original!B:C,2,FALSE)</f>
        <v>Enantio- and Regioselective Propargylation and Allenylation of β,γ-Unsaturated α‑Ketoesters with Allenyl Boronate Regulated by Chiral Copper/Zinc</v>
      </c>
      <c r="U227" s="13" t="s">
        <v>950</v>
      </c>
      <c r="V227" t="str">
        <f t="shared" si="49"/>
        <v>ol4c03845</v>
      </c>
      <c r="W227" t="str">
        <f t="shared" si="50"/>
        <v>ol4c03845_si_006.zip</v>
      </c>
      <c r="X227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\thttps://acs.figshare.com/articles/dataset/Enantio-_and_Regioselective_Propargylation_and_Allenylation_of_-Unsaturated_Ketoesters_with_Allenyl_Boronate_Regulated_by_Chiral_Copper_Zinc/28324101\thttps://acs.figshare.com/articles/dataset/Enantio-_and_Regioselective_Propargylation_and_Allenylation_of_-Unsaturated_Ketoesters_with_Allenyl_Boronate_Regulated_by_Chiral_Copper_Zinc/28324104\thttps://acs.figshare.com/articles/dataset/Enantio-_and_Regioselective_Propargylation_and_Allenylation_of_-Unsaturated_Ketoesters_with_Allenyl_Boronate_Regulated_by_Chiral_Copper_Zinc/28324107</v>
      </c>
      <c r="Y227" s="1" t="str">
        <f t="shared" si="55"/>
        <v/>
      </c>
      <c r="Z227" t="str">
        <f t="shared" si="52"/>
        <v>&lt;br&gt;&lt;a href="https://doi.org/10.1021/acs.orglett.4c03845.s006"&gt;https://doi.org/10.1021/acs.orglett.4c03845.s006&lt;/a&gt;</v>
      </c>
      <c r="AA227" t="str">
        <f t="shared" si="53"/>
        <v/>
      </c>
    </row>
    <row r="228" spans="1:27" x14ac:dyDescent="0.35">
      <c r="A228">
        <v>227</v>
      </c>
      <c r="B228" s="5" t="str">
        <f t="shared" si="42"/>
        <v>ol4c03845</v>
      </c>
      <c r="C228" s="1" t="str">
        <f t="shared" si="43"/>
        <v/>
      </c>
      <c r="D228">
        <f>IF(F228=1,"",IF(AND(D227="",S227=S228),"",S228-SUM(F$2:F227)))</f>
        <v>114</v>
      </c>
      <c r="E228" t="str">
        <f t="shared" si="44"/>
        <v>1</v>
      </c>
      <c r="F228">
        <v>0</v>
      </c>
      <c r="M228" t="str">
        <f t="shared" si="45"/>
        <v>/*114 ol4c03845 */"https://doi.org/10.1021/acs.orglett.4c03845.s007",//Enantio- and Regioselective Propargylation and Allenylation of β,γ-Unsaturated α‑Ketoesters with Allenyl Boronate Regulated by Chiral Copper/Zinc</v>
      </c>
      <c r="N228" t="e">
        <f t="shared" si="46"/>
        <v>#N/A</v>
      </c>
      <c r="O228" t="b">
        <f t="shared" si="47"/>
        <v>0</v>
      </c>
      <c r="P228" s="13" t="s">
        <v>951</v>
      </c>
      <c r="Q228" s="13" t="s">
        <v>952</v>
      </c>
      <c r="R228" t="str">
        <f t="shared" si="48"/>
        <v>007</v>
      </c>
      <c r="S228">
        <f t="shared" si="54"/>
        <v>154</v>
      </c>
      <c r="T228" s="13" t="str">
        <f>VLOOKUP(Q228,original!B:C,2,FALSE)</f>
        <v>Enantio- and Regioselective Propargylation and Allenylation of β,γ-Unsaturated α‑Ketoesters with Allenyl Boronate Regulated by Chiral Copper/Zinc</v>
      </c>
      <c r="U228" s="13" t="s">
        <v>950</v>
      </c>
      <c r="V228" t="str">
        <f t="shared" si="49"/>
        <v>ol4c03845</v>
      </c>
      <c r="W228" t="str">
        <f t="shared" si="50"/>
        <v>ol4c03845_si_007.zip</v>
      </c>
      <c r="X228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\thttps://acs.figshare.com/articles/dataset/Enantio-_and_Regioselective_Propargylation_and_Allenylation_of_-Unsaturated_Ketoesters_with_Allenyl_Boronate_Regulated_by_Chiral_Copper_Zinc/28324101\thttps://acs.figshare.com/articles/dataset/Enantio-_and_Regioselective_Propargylation_and_Allenylation_of_-Unsaturated_Ketoesters_with_Allenyl_Boronate_Regulated_by_Chiral_Copper_Zinc/28324104\thttps://acs.figshare.com/articles/dataset/Enantio-_and_Regioselective_Propargylation_and_Allenylation_of_-Unsaturated_Ketoesters_with_Allenyl_Boronate_Regulated_by_Chiral_Copper_Zinc/28324107\thttps://acs.figshare.com/articles/dataset/Enantio-_and_Regioselective_Propargylation_and_Allenylation_of_-Unsaturated_Ketoesters_with_Allenyl_Boronate_Regulated_by_Chiral_Copper_Zinc/28324110</v>
      </c>
      <c r="Y228" s="1" t="str">
        <f t="shared" si="55"/>
        <v/>
      </c>
      <c r="Z228" t="str">
        <f t="shared" si="52"/>
        <v>&lt;br&gt;&lt;a href="https://doi.org/10.1021/acs.orglett.4c03845.s007"&gt;https://doi.org/10.1021/acs.orglett.4c03845.s007&lt;/a&gt;</v>
      </c>
      <c r="AA228" t="str">
        <f t="shared" si="53"/>
        <v/>
      </c>
    </row>
    <row r="229" spans="1:27" x14ac:dyDescent="0.35">
      <c r="A229">
        <v>228</v>
      </c>
      <c r="B229" s="5" t="str">
        <f t="shared" si="42"/>
        <v>ol4c03845</v>
      </c>
      <c r="C229" s="1" t="str">
        <f t="shared" si="43"/>
        <v>ol4c03845</v>
      </c>
      <c r="D229">
        <f>IF(F229=1,"",IF(AND(D228="",S228=S229),"",S229-SUM(F$2:F228)))</f>
        <v>114</v>
      </c>
      <c r="E229" t="str">
        <f t="shared" si="44"/>
        <v>1</v>
      </c>
      <c r="F229">
        <v>0</v>
      </c>
      <c r="H229">
        <v>78</v>
      </c>
      <c r="I229">
        <v>204</v>
      </c>
      <c r="J229">
        <v>55</v>
      </c>
      <c r="M229" t="str">
        <f t="shared" si="45"/>
        <v>/*114 ol4c03845 */"https://doi.org/10.1021/acs.orglett.4c03845.s008",//Enantio- and Regioselective Propargylation and Allenylation of β,γ-Unsaturated α‑Ketoesters with Allenyl Boronate Regulated by Chiral Copper/Zinc</v>
      </c>
      <c r="N229" t="e">
        <f t="shared" si="46"/>
        <v>#N/A</v>
      </c>
      <c r="O229" t="b">
        <f t="shared" si="47"/>
        <v>0</v>
      </c>
      <c r="P229" s="13" t="s">
        <v>948</v>
      </c>
      <c r="Q229" s="13" t="s">
        <v>949</v>
      </c>
      <c r="R229" t="str">
        <f t="shared" si="48"/>
        <v>008</v>
      </c>
      <c r="S229">
        <f t="shared" si="54"/>
        <v>154</v>
      </c>
      <c r="T229" s="13" t="str">
        <f>VLOOKUP(Q229,original!B:C,2,FALSE)</f>
        <v>Enantio- and Regioselective Propargylation and Allenylation of β,γ-Unsaturated α‑Ketoesters with Allenyl Boronate Regulated by Chiral Copper/Zinc</v>
      </c>
      <c r="U229" s="13" t="s">
        <v>950</v>
      </c>
      <c r="V229" t="str">
        <f t="shared" si="49"/>
        <v>ol4c03845</v>
      </c>
      <c r="W229" t="str">
        <f t="shared" si="50"/>
        <v>ol4c03845_si_008.zip</v>
      </c>
      <c r="X229" t="str">
        <f t="shared" si="51"/>
        <v>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\thttps://acs.figshare.com/articles/dataset/Enantio-_and_Regioselective_Propargylation_and_Allenylation_of_-Unsaturated_Ketoesters_with_Allenyl_Boronate_Regulated_by_Chiral_Copper_Zinc/28324101\thttps://acs.figshare.com/articles/dataset/Enantio-_and_Regioselective_Propargylation_and_Allenylation_of_-Unsaturated_Ketoesters_with_Allenyl_Boronate_Regulated_by_Chiral_Copper_Zinc/28324104\thttps://acs.figshare.com/articles/dataset/Enantio-_and_Regioselective_Propargylation_and_Allenylation_of_-Unsaturated_Ketoesters_with_Allenyl_Boronate_Regulated_by_Chiral_Copper_Zinc/28324107\thttps://acs.figshare.com/articles/dataset/Enantio-_and_Regioselective_Propargylation_and_Allenylation_of_-Unsaturated_Ketoesters_with_Allenyl_Boronate_Regulated_by_Chiral_Copper_Zinc/28324110\thttps://acs.figshare.com/articles/dataset/Enantio-_and_Regioselective_Propargylation_and_Allenylation_of_-Unsaturated_Ketoesters_with_Allenyl_Boronate_Regulated_by_Chiral_Copper_Zinc/28324113</v>
      </c>
      <c r="Y229" s="1" t="str">
        <f t="shared" si="55"/>
        <v>--localSource c:/temp/acs2/data --targetDir c:/temp/acs2/$DOI$ --noDownload --readOnly  --pubDOI https://doi.org/10.1021/acs.orglett.4c03845 --dataDOI "10.1021/acs.orglett.4c03845https://acs.figshare.com/articles/dataset/Enantio-_and_Regioselective_Propargylation_and_Allenylation_of_-Unsaturated_Ketoesters_with_Allenyl_Boronate_Regulated_by_Chiral_Copper_Zinc/28324092\thttps://acs.figshare.com/articles/dataset/Enantio-_and_Regioselective_Propargylation_and_Allenylation_of_-Unsaturated_Ketoesters_with_Allenyl_Boronate_Regulated_by_Chiral_Copper_Zinc/28324095\thttps://acs.figshare.com/articles/dataset/Enantio-_and_Regioselective_Propargylation_and_Allenylation_of_-Unsaturated_Ketoesters_with_Allenyl_Boronate_Regulated_by_Chiral_Copper_Zinc/28324098\thttps://acs.figshare.com/articles/dataset/Enantio-_and_Regioselective_Propargylation_and_Allenylation_of_-Unsaturated_Ketoesters_with_Allenyl_Boronate_Regulated_by_Chiral_Copper_Zinc/28324101\thttps://acs.figshare.com/articles/dataset/Enantio-_and_Regioselective_Propargylation_and_Allenylation_of_-Unsaturated_Ketoesters_with_Allenyl_Boronate_Regulated_by_Chiral_Copper_Zinc/28324104\thttps://acs.figshare.com/articles/dataset/Enantio-_and_Regioselective_Propargylation_and_Allenylation_of_-Unsaturated_Ketoesters_with_Allenyl_Boronate_Regulated_by_Chiral_Copper_Zinc/28324107\thttps://acs.figshare.com/articles/dataset/Enantio-_and_Regioselective_Propargylation_and_Allenylation_of_-Unsaturated_Ketoesters_with_Allenyl_Boronate_Regulated_by_Chiral_Copper_Zinc/28324110\thttps://acs.figshare.com/articles/dataset/Enantio-_and_Regioselective_Propargylation_and_Allenylation_of_-Unsaturated_Ketoesters_with_Allenyl_Boronate_Regulated_by_Chiral_Copper_Zinc/28324113"</v>
      </c>
      <c r="Z229" t="str">
        <f t="shared" si="52"/>
        <v>&lt;br&gt;&lt;a href="https://doi.org/10.1021/acs.orglett.4c03845.s008"&gt;https://doi.org/10.1021/acs.orglett.4c03845.s008&lt;/a&gt;</v>
      </c>
      <c r="AA229" t="str">
        <f t="shared" si="53"/>
        <v/>
      </c>
    </row>
    <row r="230" spans="1:27" x14ac:dyDescent="0.35">
      <c r="A230">
        <v>229</v>
      </c>
      <c r="B230" s="5" t="str">
        <f t="shared" si="42"/>
        <v>ol4c04173</v>
      </c>
      <c r="C230" s="1" t="str">
        <f t="shared" si="43"/>
        <v>ol4c04173</v>
      </c>
      <c r="D230">
        <f>IF(F230=1,"",IF(AND(D229="",S229=S230),"",S230-SUM(F$2:F229)))</f>
        <v>115</v>
      </c>
      <c r="E230" t="str">
        <f t="shared" si="44"/>
        <v>0</v>
      </c>
      <c r="F230">
        <v>0</v>
      </c>
      <c r="H230">
        <v>45</v>
      </c>
      <c r="I230">
        <v>90</v>
      </c>
      <c r="M230" t="str">
        <f t="shared" si="45"/>
        <v>/*115 ol4c04173 */"https://doi.org/10.1021/acs.orglett.4c04173.s002",//Pd(OAc)2‑Catalyzed Approach to Phenanthridin-6(5H)‑one Skeletons</v>
      </c>
      <c r="N230" t="e">
        <f t="shared" si="46"/>
        <v>#N/A</v>
      </c>
      <c r="O230" t="b">
        <f t="shared" si="47"/>
        <v>0</v>
      </c>
      <c r="P230" s="13" t="s">
        <v>1038</v>
      </c>
      <c r="Q230" s="13" t="s">
        <v>1039</v>
      </c>
      <c r="R230" t="str">
        <f t="shared" si="48"/>
        <v>002</v>
      </c>
      <c r="S230">
        <f t="shared" si="54"/>
        <v>155</v>
      </c>
      <c r="T230" s="13" t="str">
        <f>VLOOKUP(Q230,original!B:C,2,FALSE)</f>
        <v>Pd(OAc)2‑Catalyzed Approach to Phenanthridin-6(5H)‑one Skeletons</v>
      </c>
      <c r="U230" s="13" t="s">
        <v>1040</v>
      </c>
      <c r="V230" t="str">
        <f t="shared" si="49"/>
        <v>ol4c04173</v>
      </c>
      <c r="W230" t="str">
        <f t="shared" si="50"/>
        <v>ol4c04173_si_002.zip</v>
      </c>
      <c r="X230" t="str">
        <f t="shared" si="51"/>
        <v>https://acs.figshare.com/articles/dataset/Pd_OAc_sub_2_sub_Catalyzed_Approach_to_Phenanthridin-6_5_i_H_i_one_Skeletons/28143679</v>
      </c>
      <c r="Y230" s="1" t="str">
        <f t="shared" si="55"/>
        <v>--localSource c:/temp/acs2/data --targetDir c:/temp/acs2/$DOI$ --noDownload --readOnly  --pubDOI https://doi.org/10.1021/acs.orglett.4c04173 --dataDOI "10.1021/acs.orglett.4c04173https://acs.figshare.com/articles/dataset/Pd_OAc_sub_2_sub_Catalyzed_Approach_to_Phenanthridin-6_5_i_H_i_one_Skeletons/28143679"</v>
      </c>
      <c r="Z230" t="str">
        <f t="shared" si="52"/>
        <v>&lt;br&gt;&lt;a href="https://doi.org/10.1021/acs.orglett.4c04173.s002"&gt;https://doi.org/10.1021/acs.orglett.4c04173.s002&lt;/a&gt;</v>
      </c>
      <c r="AA230" t="str">
        <f t="shared" si="53"/>
        <v/>
      </c>
    </row>
    <row r="231" spans="1:27" x14ac:dyDescent="0.35">
      <c r="A231">
        <v>230</v>
      </c>
      <c r="B231" s="5" t="str">
        <f t="shared" si="42"/>
        <v>ol4c04259</v>
      </c>
      <c r="C231" s="1" t="str">
        <f t="shared" si="43"/>
        <v>#ol4c04259 FAILED 3cc/重新打/</v>
      </c>
      <c r="D231" t="str">
        <f>IF(F231=1,"",IF(AND(D230="",S230=S231),"",S231-SUM(F$2:F230)))</f>
        <v/>
      </c>
      <c r="E231" t="str">
        <f t="shared" si="44"/>
        <v>0</v>
      </c>
      <c r="F231">
        <v>1</v>
      </c>
      <c r="G231" s="7" t="s">
        <v>2294</v>
      </c>
      <c r="H231">
        <v>34</v>
      </c>
      <c r="I231">
        <v>70</v>
      </c>
      <c r="M231" t="str">
        <f t="shared" si="45"/>
        <v/>
      </c>
      <c r="N231" t="e">
        <f t="shared" si="46"/>
        <v>#N/A</v>
      </c>
      <c r="O231" t="b">
        <f t="shared" si="47"/>
        <v>0</v>
      </c>
      <c r="P231" s="13" t="s">
        <v>941</v>
      </c>
      <c r="Q231" s="13" t="s">
        <v>942</v>
      </c>
      <c r="R231" t="str">
        <f t="shared" si="48"/>
        <v>002</v>
      </c>
      <c r="S231">
        <f t="shared" si="54"/>
        <v>156</v>
      </c>
      <c r="T231" s="13" t="str">
        <f>VLOOKUP(Q231,original!B:C,2,FALSE)</f>
        <v>Pd-Catalyzed/Ligand-Controlled Regioselective Asymmetric Hydrosulfonylation of Alkylallenes or Arylallenes</v>
      </c>
      <c r="U231" s="13" t="s">
        <v>944</v>
      </c>
      <c r="V231" t="str">
        <f t="shared" si="49"/>
        <v>ol4c04259</v>
      </c>
      <c r="W231" t="str">
        <f t="shared" si="50"/>
        <v>ol4c04259_si_002.zip</v>
      </c>
      <c r="X231" t="str">
        <f t="shared" si="51"/>
        <v>https://acs.figshare.com/articles/dataset/Pd-Catalyzed_Ligand-Controlled_Regioselective_Asymmetric_Hydrosulfonylation_of_Alkylallenes_or_Arylallenes/28335054</v>
      </c>
      <c r="Y231" s="1" t="str">
        <f t="shared" si="55"/>
        <v>--localSource c:/temp/acs2/data --targetDir c:/temp/acs2/$DOI$ --noDownload --readOnly  --pubDOI https://doi.org/10.1021/acs.orglett.4c04259 --dataDOI "10.1021/acs.orglett.4c04259https://acs.figshare.com/articles/dataset/Pd-Catalyzed_Ligand-Controlled_Regioselective_Asymmetric_Hydrosulfonylation_of_Alkylallenes_or_Arylallenes/28335054"</v>
      </c>
      <c r="Z231" t="str">
        <f t="shared" si="52"/>
        <v>&lt;br&gt;&lt;a href="https://doi.org/10.1021/acs.orglett.4c04259.s002"&gt;https://doi.org/10.1021/acs.orglett.4c04259.s002&lt;/a&gt;</v>
      </c>
      <c r="AA231" t="str">
        <f t="shared" si="53"/>
        <v/>
      </c>
    </row>
    <row r="232" spans="1:27" x14ac:dyDescent="0.35">
      <c r="A232">
        <v>231</v>
      </c>
      <c r="B232" s="5" t="str">
        <f t="shared" si="42"/>
        <v>ol4c04348</v>
      </c>
      <c r="C232" s="1" t="str">
        <f t="shared" si="43"/>
        <v>ol4c04348 # missing 5j;bruker zip in bruker zip!</v>
      </c>
      <c r="D232">
        <f>IF(F232=1,"",IF(AND(D231="",S231=S232),"",S232-SUM(F$2:F231)))</f>
        <v>116</v>
      </c>
      <c r="E232" t="str">
        <f t="shared" si="44"/>
        <v>0</v>
      </c>
      <c r="F232">
        <v>0</v>
      </c>
      <c r="G232" t="s">
        <v>2296</v>
      </c>
      <c r="H232">
        <v>62</v>
      </c>
      <c r="I232">
        <v>180</v>
      </c>
      <c r="M232" t="str">
        <f t="shared" si="45"/>
        <v>/*116 ol4c04348 */"https://doi.org/10.1021/acs.orglett.4c04348.s002",//Construction of 3,6-Difluoropyridones via a Double Defluorinative [3 + 3] Annulation of α‑Fluoro-α-sulfonylacetamides with 2‑CF3‑Alkenes</v>
      </c>
      <c r="N232" t="e">
        <f t="shared" si="46"/>
        <v>#N/A</v>
      </c>
      <c r="O232" t="b">
        <f t="shared" si="47"/>
        <v>0</v>
      </c>
      <c r="P232" s="13" t="s">
        <v>1028</v>
      </c>
      <c r="Q232" s="13" t="s">
        <v>1029</v>
      </c>
      <c r="R232" t="str">
        <f t="shared" si="48"/>
        <v>002</v>
      </c>
      <c r="S232">
        <f t="shared" si="54"/>
        <v>157</v>
      </c>
      <c r="T232" s="13" t="str">
        <f>VLOOKUP(Q232,original!B:C,2,FALSE)</f>
        <v>Construction of 3,6-Difluoropyridones via a Double Defluorinative [3 + 3] Annulation of α‑Fluoro-α-sulfonylacetamides with 2‑CF3‑Alkenes</v>
      </c>
      <c r="U232" s="13" t="s">
        <v>1030</v>
      </c>
      <c r="V232" t="str">
        <f t="shared" si="49"/>
        <v>ol4c04348</v>
      </c>
      <c r="W232" t="str">
        <f t="shared" si="50"/>
        <v>ol4c04348_si_002.zip</v>
      </c>
      <c r="X232" t="str">
        <f t="shared" si="51"/>
        <v>https://acs.figshare.com/articles/dataset/Construction_of_3_6-Difluoropyridones_via_a_Double_Defluorinative_3_3_Annulation_of_Fluoro-_-sulfonylacetamides_with_2_CF_sub_3_sub_Alkenes/28163608</v>
      </c>
      <c r="Y232" s="1" t="str">
        <f t="shared" si="55"/>
        <v>--localSource c:/temp/acs2/data --targetDir c:/temp/acs2/$DOI$ --noDownload --readOnly  --pubDOI https://doi.org/10.1021/acs.orglett.4c04348 --dataDOI "10.1021/acs.orglett.4c04348https://acs.figshare.com/articles/dataset/Construction_of_3_6-Difluoropyridones_via_a_Double_Defluorinative_3_3_Annulation_of_Fluoro-_-sulfonylacetamides_with_2_CF_sub_3_sub_Alkenes/28163608"</v>
      </c>
      <c r="Z232" t="str">
        <f t="shared" si="52"/>
        <v>&lt;br&gt;&lt;a href="https://doi.org/10.1021/acs.orglett.4c04348.s002"&gt;https://doi.org/10.1021/acs.orglett.4c04348.s002&lt;/a&gt;</v>
      </c>
      <c r="AA232" t="str">
        <f t="shared" si="53"/>
        <v/>
      </c>
    </row>
    <row r="233" spans="1:27" x14ac:dyDescent="0.35">
      <c r="A233">
        <v>232</v>
      </c>
      <c r="B233" s="5" t="str">
        <f t="shared" si="42"/>
        <v>ol4c04509</v>
      </c>
      <c r="C233" s="1" t="str">
        <f t="shared" si="43"/>
        <v>ol4c04509</v>
      </c>
      <c r="D233">
        <f>IF(F233=1,"",IF(AND(D232="",S232=S233),"",S233-SUM(F$2:F232)))</f>
        <v>117</v>
      </c>
      <c r="E233" t="str">
        <f t="shared" si="44"/>
        <v>0</v>
      </c>
      <c r="F233">
        <v>0</v>
      </c>
      <c r="H233">
        <v>41</v>
      </c>
      <c r="I233">
        <v>80</v>
      </c>
      <c r="M233" t="str">
        <f t="shared" si="45"/>
        <v>/*117 ol4c04509 */"https://doi.org/10.1021/acs.orglett.4c04509.s002",//Thermocontrolled Radical Nucleophilicity vs Radicophilicity in Regiodivergent C–H Functionalization</v>
      </c>
      <c r="N233" t="e">
        <f t="shared" si="46"/>
        <v>#N/A</v>
      </c>
      <c r="O233" t="b">
        <f t="shared" si="47"/>
        <v>0</v>
      </c>
      <c r="P233" s="13" t="s">
        <v>1025</v>
      </c>
      <c r="Q233" s="13" t="s">
        <v>1026</v>
      </c>
      <c r="R233" t="str">
        <f t="shared" si="48"/>
        <v>002</v>
      </c>
      <c r="S233">
        <f t="shared" si="54"/>
        <v>158</v>
      </c>
      <c r="T233" s="13" t="str">
        <f>VLOOKUP(Q233,original!B:C,2,FALSE)</f>
        <v>Thermocontrolled Radical Nucleophilicity vs Radicophilicity in Regiodivergent C–H Functionalization</v>
      </c>
      <c r="U233" s="13" t="s">
        <v>1027</v>
      </c>
      <c r="V233" t="str">
        <f t="shared" si="49"/>
        <v>ol4c04509</v>
      </c>
      <c r="W233" t="str">
        <f t="shared" si="50"/>
        <v>ol4c04509_si_002.zip</v>
      </c>
      <c r="X233" t="str">
        <f t="shared" si="51"/>
        <v>https://acs.figshare.com/articles/dataset/Thermocontrolled_Radical_Nucleophilicity_vs_Radicophilicity_in_Regiodivergent_C_H_Functionalization/28169240</v>
      </c>
      <c r="Y233" s="1" t="str">
        <f t="shared" si="55"/>
        <v>--localSource c:/temp/acs2/data --targetDir c:/temp/acs2/$DOI$ --noDownload --readOnly  --pubDOI https://doi.org/10.1021/acs.orglett.4c04509 --dataDOI "10.1021/acs.orglett.4c04509https://acs.figshare.com/articles/dataset/Thermocontrolled_Radical_Nucleophilicity_vs_Radicophilicity_in_Regiodivergent_C_H_Functionalization/28169240"</v>
      </c>
      <c r="Z233" t="str">
        <f t="shared" si="52"/>
        <v>&lt;br&gt;&lt;a href="https://doi.org/10.1021/acs.orglett.4c04509.s002"&gt;https://doi.org/10.1021/acs.orglett.4c04509.s002&lt;/a&gt;</v>
      </c>
      <c r="AA233" t="str">
        <f t="shared" si="53"/>
        <v/>
      </c>
    </row>
    <row r="234" spans="1:27" x14ac:dyDescent="0.35">
      <c r="A234">
        <v>233</v>
      </c>
      <c r="B234" s="5" t="str">
        <f t="shared" si="42"/>
        <v>ol4c04625</v>
      </c>
      <c r="C234" s="1" t="str">
        <f t="shared" si="43"/>
        <v>ol4c04625</v>
      </c>
      <c r="D234">
        <f>IF(F234=1,"",IF(AND(D233="",S233=S234),"",S234-SUM(F$2:F233)))</f>
        <v>118</v>
      </c>
      <c r="E234" t="str">
        <f t="shared" si="44"/>
        <v>0</v>
      </c>
      <c r="F234">
        <v>0</v>
      </c>
      <c r="H234">
        <v>41</v>
      </c>
      <c r="I234">
        <v>85</v>
      </c>
      <c r="M234" t="str">
        <f t="shared" si="45"/>
        <v>/*118 ol4c04625 */"https://doi.org/10.1021/acs.orglett.4c04625.s002",//Sc-Catalyzed Asymmetric [2 + 2] Annulation of 2‑Alkynylnaphthols with Dienes to Access Cyclobutene Frameworks</v>
      </c>
      <c r="N234" t="e">
        <f t="shared" si="46"/>
        <v>#N/A</v>
      </c>
      <c r="O234" t="b">
        <f t="shared" si="47"/>
        <v>0</v>
      </c>
      <c r="P234" s="13" t="s">
        <v>1000</v>
      </c>
      <c r="Q234" s="13" t="s">
        <v>1001</v>
      </c>
      <c r="R234" t="str">
        <f t="shared" si="48"/>
        <v>002</v>
      </c>
      <c r="S234">
        <f t="shared" si="54"/>
        <v>159</v>
      </c>
      <c r="T234" s="13" t="str">
        <f>VLOOKUP(Q234,original!B:C,2,FALSE)</f>
        <v>Sc-Catalyzed Asymmetric [2 + 2] Annulation of 2‑Alkynylnaphthols with Dienes to Access Cyclobutene Frameworks</v>
      </c>
      <c r="U234" s="13" t="s">
        <v>1002</v>
      </c>
      <c r="V234" t="str">
        <f t="shared" si="49"/>
        <v>ol4c04625</v>
      </c>
      <c r="W234" t="str">
        <f t="shared" si="50"/>
        <v>ol4c04625_si_002.zip</v>
      </c>
      <c r="X234" t="str">
        <f t="shared" si="51"/>
        <v>https://acs.figshare.com/articles/dataset/Sc-Catalyzed_Asymmetric_2_2_Annulation_of_2_Alkynylnaphthols_with_Dienes_to_Access_Cyclobutene_Frameworks/28218373</v>
      </c>
      <c r="Y234" s="1" t="str">
        <f t="shared" si="55"/>
        <v>--localSource c:/temp/acs2/data --targetDir c:/temp/acs2/$DOI$ --noDownload --readOnly  --pubDOI https://doi.org/10.1021/acs.orglett.4c04625 --dataDOI "10.1021/acs.orglett.4c04625https://acs.figshare.com/articles/dataset/Sc-Catalyzed_Asymmetric_2_2_Annulation_of_2_Alkynylnaphthols_with_Dienes_to_Access_Cyclobutene_Frameworks/28218373"</v>
      </c>
      <c r="Z234" t="str">
        <f t="shared" si="52"/>
        <v>&lt;br&gt;&lt;a href="https://doi.org/10.1021/acs.orglett.4c04625.s002"&gt;https://doi.org/10.1021/acs.orglett.4c04625.s002&lt;/a&gt;</v>
      </c>
      <c r="AA234" t="str">
        <f t="shared" si="53"/>
        <v/>
      </c>
    </row>
    <row r="235" spans="1:27" x14ac:dyDescent="0.35">
      <c r="A235">
        <v>234</v>
      </c>
      <c r="B235" s="5" t="str">
        <f t="shared" si="42"/>
        <v>ol4c04737</v>
      </c>
      <c r="C235" s="1" t="str">
        <f t="shared" si="43"/>
        <v/>
      </c>
      <c r="D235">
        <f>IF(F235=1,"",IF(AND(D234="",S234=S235),"",S235-SUM(F$2:F234)))</f>
        <v>119</v>
      </c>
      <c r="E235" t="str">
        <f t="shared" si="44"/>
        <v>0</v>
      </c>
      <c r="F235">
        <v>0</v>
      </c>
      <c r="M235" t="str">
        <f t="shared" si="45"/>
        <v>/*119 ol4c04737 */"https://doi.org/10.1021/acs.orglett.4c04737.s002",//Diverse Annulations of Alkyl(phenyl)phosphinic Chlorides and Imines</v>
      </c>
      <c r="N235" t="e">
        <f t="shared" si="46"/>
        <v>#N/A</v>
      </c>
      <c r="O235" t="b">
        <f t="shared" si="47"/>
        <v>0</v>
      </c>
      <c r="P235" s="13" t="s">
        <v>969</v>
      </c>
      <c r="Q235" s="13" t="s">
        <v>970</v>
      </c>
      <c r="R235" t="str">
        <f t="shared" si="48"/>
        <v>002</v>
      </c>
      <c r="S235">
        <f t="shared" si="54"/>
        <v>160</v>
      </c>
      <c r="T235" s="13" t="str">
        <f>VLOOKUP(Q235,original!B:C,2,FALSE)</f>
        <v>Diverse Annulations of Alkyl(phenyl)phosphinic Chlorides and Imines</v>
      </c>
      <c r="U235" s="13" t="s">
        <v>968</v>
      </c>
      <c r="V235" t="str">
        <f t="shared" si="49"/>
        <v>ol4c04737</v>
      </c>
      <c r="W235" t="str">
        <f t="shared" si="50"/>
        <v>ol4c04737_si_002.zip</v>
      </c>
      <c r="X235" t="str">
        <f t="shared" si="51"/>
        <v>https://acs.figshare.com/articles/dataset/Diverse_Annulations_of_Alkyl_phenyl_phosphinic_Chlorides_and_Imines/28320124</v>
      </c>
      <c r="Y235" s="1" t="str">
        <f t="shared" si="55"/>
        <v/>
      </c>
      <c r="Z235" t="str">
        <f t="shared" si="52"/>
        <v>&lt;br&gt;&lt;a href="https://doi.org/10.1021/acs.orglett.4c04737.s002"&gt;https://doi.org/10.1021/acs.orglett.4c04737.s002&lt;/a&gt;</v>
      </c>
      <c r="AA235" t="str">
        <f t="shared" si="53"/>
        <v/>
      </c>
    </row>
    <row r="236" spans="1:27" x14ac:dyDescent="0.35">
      <c r="A236">
        <v>235</v>
      </c>
      <c r="B236" s="5" t="str">
        <f t="shared" si="42"/>
        <v>ol4c04737</v>
      </c>
      <c r="C236" s="1" t="str">
        <f t="shared" si="43"/>
        <v>ol4c04737</v>
      </c>
      <c r="D236">
        <f>IF(F236=1,"",IF(AND(D235="",S235=S236),"",S236-SUM(F$2:F235)))</f>
        <v>119</v>
      </c>
      <c r="E236" t="str">
        <f t="shared" si="44"/>
        <v>1</v>
      </c>
      <c r="F236">
        <v>0</v>
      </c>
      <c r="H236">
        <v>45</v>
      </c>
      <c r="I236">
        <v>144</v>
      </c>
      <c r="J236">
        <v>45</v>
      </c>
      <c r="M236" t="str">
        <f t="shared" si="45"/>
        <v>/*119 ol4c04737 */"https://doi.org/10.1021/acs.orglett.4c04737.s003",//Diverse Annulations of Alkyl(phenyl)phosphinic Chlorides and Imines</v>
      </c>
      <c r="N236" t="e">
        <f t="shared" si="46"/>
        <v>#N/A</v>
      </c>
      <c r="O236" t="b">
        <f t="shared" si="47"/>
        <v>0</v>
      </c>
      <c r="P236" s="13" t="s">
        <v>965</v>
      </c>
      <c r="Q236" s="13" t="s">
        <v>966</v>
      </c>
      <c r="R236" t="str">
        <f t="shared" si="48"/>
        <v>003</v>
      </c>
      <c r="S236">
        <f t="shared" si="54"/>
        <v>160</v>
      </c>
      <c r="T236" s="13" t="str">
        <f>VLOOKUP(Q236,original!B:C,2,FALSE)</f>
        <v>Diverse Annulations of Alkyl(phenyl)phosphinic Chlorides and Imines</v>
      </c>
      <c r="U236" s="13" t="s">
        <v>968</v>
      </c>
      <c r="V236" t="str">
        <f t="shared" si="49"/>
        <v>ol4c04737</v>
      </c>
      <c r="W236" t="str">
        <f t="shared" si="50"/>
        <v>ol4c04737_si_003.zip</v>
      </c>
      <c r="X236" t="str">
        <f t="shared" si="51"/>
        <v>https://acs.figshare.com/articles/dataset/Diverse_Annulations_of_Alkyl_phenyl_phosphinic_Chlorides_and_Imines/28320124\thttps://acs.figshare.com/articles/dataset/Diverse_Annulations_of_Alkyl_phenyl_phosphinic_Chlorides_and_Imines/28320127</v>
      </c>
      <c r="Y236" s="1" t="str">
        <f t="shared" si="55"/>
        <v>--localSource c:/temp/acs2/data --targetDir c:/temp/acs2/$DOI$ --noDownload --readOnly  --pubDOI https://doi.org/10.1021/acs.orglett.4c04737 --dataDOI "10.1021/acs.orglett.4c04737https://acs.figshare.com/articles/dataset/Diverse_Annulations_of_Alkyl_phenyl_phosphinic_Chlorides_and_Imines/28320124\thttps://acs.figshare.com/articles/dataset/Diverse_Annulations_of_Alkyl_phenyl_phosphinic_Chlorides_and_Imines/28320127"</v>
      </c>
      <c r="Z236" t="str">
        <f t="shared" si="52"/>
        <v>&lt;br&gt;&lt;a href="https://doi.org/10.1021/acs.orglett.4c04737.s003"&gt;https://doi.org/10.1021/acs.orglett.4c04737.s003&lt;/a&gt;</v>
      </c>
      <c r="AA236" t="str">
        <f t="shared" si="53"/>
        <v/>
      </c>
    </row>
    <row r="237" spans="1:27" x14ac:dyDescent="0.35">
      <c r="A237">
        <v>236</v>
      </c>
      <c r="B237" s="5" t="str">
        <f t="shared" si="42"/>
        <v>ol4c04767</v>
      </c>
      <c r="C237" s="1" t="str">
        <f t="shared" si="43"/>
        <v>#ol4c04767 xls</v>
      </c>
      <c r="D237" t="str">
        <f>IF(F237=1,"",IF(AND(D236="",S236=S237),"",S237-SUM(F$2:F236)))</f>
        <v/>
      </c>
      <c r="E237" t="str">
        <f t="shared" si="44"/>
        <v>0</v>
      </c>
      <c r="F237">
        <v>1</v>
      </c>
      <c r="G237" t="s">
        <v>1096</v>
      </c>
      <c r="M237" t="str">
        <f t="shared" si="45"/>
        <v/>
      </c>
      <c r="N237" t="str">
        <f t="shared" si="46"/>
        <v>ol4c04767_si_002.xls</v>
      </c>
      <c r="O237" t="b">
        <f t="shared" si="47"/>
        <v>1</v>
      </c>
      <c r="P237" s="13" t="s">
        <v>933</v>
      </c>
      <c r="Q237" s="13" t="s">
        <v>934</v>
      </c>
      <c r="R237" t="str">
        <f t="shared" si="48"/>
        <v>002</v>
      </c>
      <c r="S237">
        <f t="shared" si="54"/>
        <v>161</v>
      </c>
      <c r="T237" s="13" t="str">
        <f>VLOOKUP(Q237,original!B:C,2,FALSE)</f>
        <v>Unified Hydrogen Atom Transfer Approach To Construct Vicinal Functionality</v>
      </c>
      <c r="U237" s="13" t="s">
        <v>936</v>
      </c>
      <c r="V237" t="str">
        <f t="shared" si="49"/>
        <v>ol4c04767</v>
      </c>
      <c r="W237" t="str">
        <f t="shared" si="50"/>
        <v>ol4c04767_si_002.zip</v>
      </c>
      <c r="X237" t="str">
        <f t="shared" si="51"/>
        <v>https://acs.figshare.com/articles/dataset/Unified_Hydrogen_Atom_Transfer_Approach_To_Construct_Vicinal_Functionality/28360913</v>
      </c>
      <c r="Y237" s="1" t="str">
        <f t="shared" si="55"/>
        <v>--localSource c:/temp/acs2/data --targetDir c:/temp/acs2/$DOI$ --noDownload --readOnly  --pubDOI https://doi.org/10.1021/acs.orglett.4c04767 --dataDOI "10.1021/acs.orglett.4c04767https://acs.figshare.com/articles/dataset/Unified_Hydrogen_Atom_Transfer_Approach_To_Construct_Vicinal_Functionality/28360913"</v>
      </c>
      <c r="Z237" t="str">
        <f t="shared" si="52"/>
        <v>&lt;br&gt;&lt;a href="https://doi.org/10.1021/acs.orglett.4c04767.s002"&gt;https://doi.org/10.1021/acs.orglett.4c04767.s002&lt;/a&gt;</v>
      </c>
      <c r="AA237" t="str">
        <f t="shared" si="53"/>
        <v/>
      </c>
    </row>
    <row r="238" spans="1:27" x14ac:dyDescent="0.35">
      <c r="A238">
        <v>237</v>
      </c>
      <c r="B238" s="5" t="str">
        <f t="shared" si="42"/>
        <v>ol4c04779</v>
      </c>
      <c r="C238" s="1" t="str">
        <f t="shared" si="43"/>
        <v>ol4c04779</v>
      </c>
      <c r="D238">
        <f>IF(F238=1,"",IF(AND(D237="",S237=S238),"",S238-SUM(F$2:F237)))</f>
        <v>120</v>
      </c>
      <c r="E238" t="str">
        <f t="shared" si="44"/>
        <v>0</v>
      </c>
      <c r="F238">
        <v>0</v>
      </c>
      <c r="H238">
        <v>32</v>
      </c>
      <c r="I238">
        <v>73</v>
      </c>
      <c r="M238" t="str">
        <f t="shared" si="45"/>
        <v>/*120 ol4c04779 */"https://doi.org/10.1021/acs.orglett.4c04779.s002",//Diastereoselective Synthesis of Cyclobutanes via Rh-Catalyzed Unprecedented C–C Bond Cleavage of Alkylidenecyclopropanes</v>
      </c>
      <c r="N238" t="e">
        <f t="shared" si="46"/>
        <v>#N/A</v>
      </c>
      <c r="O238" t="b">
        <f t="shared" si="47"/>
        <v>0</v>
      </c>
      <c r="P238" s="13" t="s">
        <v>993</v>
      </c>
      <c r="Q238" s="13" t="s">
        <v>994</v>
      </c>
      <c r="R238" t="str">
        <f t="shared" si="48"/>
        <v>002</v>
      </c>
      <c r="S238">
        <f t="shared" si="54"/>
        <v>162</v>
      </c>
      <c r="T238" s="13" t="str">
        <f>VLOOKUP(Q238,original!B:C,2,FALSE)</f>
        <v>Diastereoselective Synthesis of Cyclobutanes via Rh-Catalyzed Unprecedented C–C Bond Cleavage of Alkylidenecyclopropanes</v>
      </c>
      <c r="U238" s="13" t="s">
        <v>995</v>
      </c>
      <c r="V238" t="str">
        <f t="shared" si="49"/>
        <v>ol4c04779</v>
      </c>
      <c r="W238" t="str">
        <f t="shared" si="50"/>
        <v>ol4c04779_si_002.zip</v>
      </c>
      <c r="X238" t="str">
        <f t="shared" si="51"/>
        <v>https://acs.figshare.com/articles/dataset/Diastereoselective_Synthesis_of_Cyclobutanes_via_Rh-Catalyzed_Unprecedented_C_C_Bond_Cleavage_of_Alkylidenecyclopropanes/28264345</v>
      </c>
      <c r="Y238" s="1" t="str">
        <f t="shared" si="55"/>
        <v>--localSource c:/temp/acs2/data --targetDir c:/temp/acs2/$DOI$ --noDownload --readOnly  --pubDOI https://doi.org/10.1021/acs.orglett.4c04779 --dataDOI "10.1021/acs.orglett.4c04779https://acs.figshare.com/articles/dataset/Diastereoselective_Synthesis_of_Cyclobutanes_via_Rh-Catalyzed_Unprecedented_C_C_Bond_Cleavage_of_Alkylidenecyclopropanes/28264345"</v>
      </c>
      <c r="Z238" t="str">
        <f t="shared" si="52"/>
        <v>&lt;br&gt;&lt;a href="https://doi.org/10.1021/acs.orglett.4c04779.s002"&gt;https://doi.org/10.1021/acs.orglett.4c04779.s002&lt;/a&gt;</v>
      </c>
      <c r="AA238" t="str">
        <f t="shared" si="53"/>
        <v/>
      </c>
    </row>
    <row r="239" spans="1:27" x14ac:dyDescent="0.35">
      <c r="A239">
        <v>238</v>
      </c>
      <c r="B239" s="5" t="str">
        <f t="shared" si="42"/>
        <v>ol4c04827</v>
      </c>
      <c r="C239" s="1" t="str">
        <f t="shared" si="43"/>
        <v>ol4c04827</v>
      </c>
      <c r="D239">
        <f>IF(F239=1,"",IF(AND(D238="",S238=S239),"",S239-SUM(F$2:F238)))</f>
        <v>121</v>
      </c>
      <c r="E239" t="str">
        <f t="shared" si="44"/>
        <v>0</v>
      </c>
      <c r="F239">
        <v>0</v>
      </c>
      <c r="H239">
        <v>28</v>
      </c>
      <c r="I239">
        <v>75</v>
      </c>
      <c r="M239" t="str">
        <f t="shared" si="45"/>
        <v>/*121 ol4c04827 */"https://doi.org/10.1021/acs.orglett.4c04827.s001",//Catalytic Enantioselective [4+1]-Annulation of Carboxylic Acids with Cyclopropenes</v>
      </c>
      <c r="N239" t="e">
        <f t="shared" si="46"/>
        <v>#N/A</v>
      </c>
      <c r="O239" t="b">
        <f t="shared" si="47"/>
        <v>0</v>
      </c>
      <c r="P239" s="13" t="s">
        <v>918</v>
      </c>
      <c r="Q239" s="13" t="s">
        <v>919</v>
      </c>
      <c r="R239" t="str">
        <f t="shared" si="48"/>
        <v>001</v>
      </c>
      <c r="S239">
        <f t="shared" si="54"/>
        <v>163</v>
      </c>
      <c r="T239" s="13" t="str">
        <f>VLOOKUP(Q239,original!B:C,2,FALSE)</f>
        <v>Catalytic Enantioselective [4+1]-Annulation of Carboxylic Acids with Cyclopropenes</v>
      </c>
      <c r="U239" s="13" t="s">
        <v>921</v>
      </c>
      <c r="V239" t="str">
        <f t="shared" si="49"/>
        <v>ol4c04827</v>
      </c>
      <c r="W239" t="str">
        <f t="shared" si="50"/>
        <v>ol4c04827_si_001.zip</v>
      </c>
      <c r="X239" t="str">
        <f t="shared" si="51"/>
        <v>https://acs.figshare.com/articles/dataset/Catalytic_Enantioselective_4_1_-Annulation_of_Carboxylic_Acids_with_Cyclopropenes/28405761</v>
      </c>
      <c r="Y239" s="1" t="str">
        <f t="shared" si="55"/>
        <v>--localSource c:/temp/acs2/data --targetDir c:/temp/acs2/$DOI$ --noDownload --readOnly  --pubDOI https://doi.org/10.1021/acs.orglett.4c04827 --dataDOI "10.1021/acs.orglett.4c04827https://acs.figshare.com/articles/dataset/Catalytic_Enantioselective_4_1_-Annulation_of_Carboxylic_Acids_with_Cyclopropenes/28405761"</v>
      </c>
      <c r="Z239" t="str">
        <f t="shared" si="52"/>
        <v>&lt;br&gt;&lt;a href="https://doi.org/10.1021/acs.orglett.4c04827.s001"&gt;https://doi.org/10.1021/acs.orglett.4c04827.s001&lt;/a&gt;</v>
      </c>
      <c r="AA239" t="str">
        <f t="shared" si="53"/>
        <v/>
      </c>
    </row>
    <row r="240" spans="1:27" x14ac:dyDescent="0.35">
      <c r="A240">
        <v>239</v>
      </c>
      <c r="B240" s="5" t="str">
        <f t="shared" si="42"/>
        <v>ol4c04834</v>
      </c>
      <c r="C240" s="1" t="str">
        <f t="shared" si="43"/>
        <v>ol4c04834</v>
      </c>
      <c r="D240">
        <f>IF(F240=1,"",IF(AND(D239="",S239=S240),"",S240-SUM(F$2:F239)))</f>
        <v>122</v>
      </c>
      <c r="E240" t="str">
        <f t="shared" si="44"/>
        <v>0</v>
      </c>
      <c r="F240">
        <v>0</v>
      </c>
      <c r="H240">
        <v>18</v>
      </c>
      <c r="I240">
        <v>39</v>
      </c>
      <c r="M240" t="str">
        <f t="shared" si="45"/>
        <v>/*122 ol4c04834 */"https://doi.org/10.1021/acs.orglett.4c04834.s002",//Visible Light-Induced Sequential Nitrogen Insertion and Benzotriazolation of Quinoxaline-2(1H)‑ones</v>
      </c>
      <c r="N240" t="e">
        <f t="shared" si="46"/>
        <v>#N/A</v>
      </c>
      <c r="O240" t="b">
        <f t="shared" si="47"/>
        <v>0</v>
      </c>
      <c r="P240" s="13" t="s">
        <v>945</v>
      </c>
      <c r="Q240" s="13" t="s">
        <v>946</v>
      </c>
      <c r="R240" t="str">
        <f t="shared" si="48"/>
        <v>002</v>
      </c>
      <c r="S240">
        <f t="shared" si="54"/>
        <v>164</v>
      </c>
      <c r="T240" s="13" t="str">
        <f>VLOOKUP(Q240,original!B:C,2,FALSE)</f>
        <v>Visible Light-Induced Sequential Nitrogen Insertion and Benzotriazolation of Quinoxaline-2(1H)‑ones</v>
      </c>
      <c r="U240" s="13" t="s">
        <v>947</v>
      </c>
      <c r="V240" t="str">
        <f t="shared" si="49"/>
        <v>ol4c04834</v>
      </c>
      <c r="W240" t="str">
        <f t="shared" si="50"/>
        <v>ol4c04834_si_002.zip</v>
      </c>
      <c r="X240" t="str">
        <f t="shared" si="51"/>
        <v>https://acs.figshare.com/articles/dataset/Visible_Light-Induced_Sequential_Nitrogen_Insertion_and_Benzotriazolation_of_Quinoxaline-2_1_i_H_i_ones/28334814</v>
      </c>
      <c r="Y240" s="1" t="str">
        <f t="shared" si="55"/>
        <v>--localSource c:/temp/acs2/data --targetDir c:/temp/acs2/$DOI$ --noDownload --readOnly  --pubDOI https://doi.org/10.1021/acs.orglett.4c04834 --dataDOI "10.1021/acs.orglett.4c04834https://acs.figshare.com/articles/dataset/Visible_Light-Induced_Sequential_Nitrogen_Insertion_and_Benzotriazolation_of_Quinoxaline-2_1_i_H_i_ones/28334814"</v>
      </c>
      <c r="Z240" t="str">
        <f t="shared" si="52"/>
        <v>&lt;br&gt;&lt;a href="https://doi.org/10.1021/acs.orglett.4c04834.s002"&gt;https://doi.org/10.1021/acs.orglett.4c04834.s002&lt;/a&gt;</v>
      </c>
      <c r="AA240" t="str">
        <f t="shared" si="53"/>
        <v/>
      </c>
    </row>
    <row r="241" spans="1:27" x14ac:dyDescent="0.35">
      <c r="A241">
        <v>240</v>
      </c>
      <c r="B241" s="5" t="str">
        <f t="shared" si="42"/>
        <v>ol5c00129</v>
      </c>
      <c r="C241" s="1" t="str">
        <f t="shared" si="43"/>
        <v>ol5c00129</v>
      </c>
      <c r="D241">
        <f>IF(F241=1,"",IF(AND(D240="",S240=S241),"",S241-SUM(F$2:F240)))</f>
        <v>123</v>
      </c>
      <c r="E241" t="str">
        <f t="shared" si="44"/>
        <v>0</v>
      </c>
      <c r="F241">
        <v>0</v>
      </c>
      <c r="H241">
        <v>32</v>
      </c>
      <c r="I241">
        <v>67</v>
      </c>
      <c r="M241" t="str">
        <f t="shared" si="45"/>
        <v>/*123 ol5c00129 */"https://doi.org/10.1021/acs.orglett.5c00129.s002",//Visible-Light-Driven Synergistic Se/Fe Catalysis for the Synthesis of 2‑Aminoquinoline Derivatives</v>
      </c>
      <c r="N241" t="e">
        <f t="shared" si="46"/>
        <v>#N/A</v>
      </c>
      <c r="O241" t="b">
        <f t="shared" si="47"/>
        <v>0</v>
      </c>
      <c r="P241" s="13" t="s">
        <v>862</v>
      </c>
      <c r="Q241" s="13" t="s">
        <v>863</v>
      </c>
      <c r="R241" t="str">
        <f t="shared" si="48"/>
        <v>002</v>
      </c>
      <c r="S241">
        <f t="shared" si="54"/>
        <v>165</v>
      </c>
      <c r="T241" s="13" t="str">
        <f>VLOOKUP(Q241,original!B:C,2,FALSE)</f>
        <v>Visible-Light-Driven Synergistic Se/Fe Catalysis for the Synthesis of 2‑Aminoquinoline Derivatives</v>
      </c>
      <c r="U241" s="13" t="s">
        <v>864</v>
      </c>
      <c r="V241" t="str">
        <f t="shared" si="49"/>
        <v>ol5c00129</v>
      </c>
      <c r="W241" t="str">
        <f t="shared" si="50"/>
        <v>ol5c00129_si_002.zip</v>
      </c>
      <c r="X241" t="str">
        <f t="shared" si="51"/>
        <v>https://acs.figshare.com/articles/dataset/Visible-Light-Driven_Synergistic_Se_Fe_Catalysis_for_the_Synthesis_of_2_Aminoquinoline_Derivatives/28524943</v>
      </c>
      <c r="Y241" s="1" t="str">
        <f t="shared" si="55"/>
        <v>--localSource c:/temp/acs2/data --targetDir c:/temp/acs2/$DOI$ --noDownload --readOnly  --pubDOI https://doi.org/10.1021/acs.orglett.5c00129 --dataDOI "10.1021/acs.orglett.5c00129https://acs.figshare.com/articles/dataset/Visible-Light-Driven_Synergistic_Se_Fe_Catalysis_for_the_Synthesis_of_2_Aminoquinoline_Derivatives/28524943"</v>
      </c>
      <c r="Z241" t="str">
        <f t="shared" si="52"/>
        <v>&lt;br&gt;&lt;a href="https://doi.org/10.1021/acs.orglett.5c00129.s002"&gt;https://doi.org/10.1021/acs.orglett.5c00129.s002&lt;/a&gt;</v>
      </c>
      <c r="AA241" t="str">
        <f t="shared" si="53"/>
        <v/>
      </c>
    </row>
    <row r="242" spans="1:27" x14ac:dyDescent="0.35">
      <c r="A242">
        <v>241</v>
      </c>
      <c r="B242" s="5" t="str">
        <f t="shared" si="42"/>
        <v>ol5c00146</v>
      </c>
      <c r="C242" s="1" t="str">
        <f t="shared" si="43"/>
        <v>ol5c00146</v>
      </c>
      <c r="D242">
        <f>IF(F242=1,"",IF(AND(D241="",S241=S242),"",S242-SUM(F$2:F241)))</f>
        <v>124</v>
      </c>
      <c r="E242" t="str">
        <f t="shared" si="44"/>
        <v>0</v>
      </c>
      <c r="F242">
        <v>0</v>
      </c>
      <c r="H242">
        <v>204</v>
      </c>
      <c r="I242">
        <v>138</v>
      </c>
      <c r="J242">
        <v>138</v>
      </c>
      <c r="M242" t="str">
        <f t="shared" si="45"/>
        <v>/*124 ol5c00146 */"https://doi.org/10.1021/acs.orglett.5c00146.s001",//TBHP-Promoted Trifluoromethyl-difluoromethylthiolation of Unactivated Alkenes with CF3SO2Na and PhSO2SCF2H</v>
      </c>
      <c r="N242" t="e">
        <f t="shared" si="46"/>
        <v>#N/A</v>
      </c>
      <c r="O242" t="b">
        <f t="shared" si="47"/>
        <v>0</v>
      </c>
      <c r="P242" s="13" t="s">
        <v>896</v>
      </c>
      <c r="Q242" s="13" t="s">
        <v>897</v>
      </c>
      <c r="R242" t="str">
        <f t="shared" si="48"/>
        <v>001</v>
      </c>
      <c r="S242">
        <f t="shared" si="54"/>
        <v>166</v>
      </c>
      <c r="T242" s="13" t="str">
        <f>VLOOKUP(Q242,original!B:C,2,FALSE)</f>
        <v>TBHP-Promoted Trifluoromethyl-difluoromethylthiolation of Unactivated Alkenes with CF3SO2Na and PhSO2SCF2H</v>
      </c>
      <c r="U242" s="13" t="s">
        <v>899</v>
      </c>
      <c r="V242" t="str">
        <f t="shared" si="49"/>
        <v>ol5c00146</v>
      </c>
      <c r="W242" t="str">
        <f t="shared" si="50"/>
        <v>ol5c00146_si_001.zip</v>
      </c>
      <c r="X242" t="str">
        <f t="shared" si="51"/>
        <v>https://acs.figshare.com/articles/dataset/TBHP-Promoted_Trifluoromethyl-difluoromethylthiolation_of_Unactivated_Alkenes_with_CF_sub_3_sub_SO_sub_2_sub_Na_and_PhSO_sub_2_sub_SCF_sub_2_sub_H/28484906</v>
      </c>
      <c r="Y242" s="1" t="str">
        <f t="shared" si="55"/>
        <v>--localSource c:/temp/acs2/data --targetDir c:/temp/acs2/$DOI$ --noDownload --readOnly  --pubDOI https://doi.org/10.1021/acs.orglett.5c00146 --dataDOI "10.1021/acs.orglett.5c00146https://acs.figshare.com/articles/dataset/TBHP-Promoted_Trifluoromethyl-difluoromethylthiolation_of_Unactivated_Alkenes_with_CF_sub_3_sub_SO_sub_2_sub_Na_and_PhSO_sub_2_sub_SCF_sub_2_sub_H/28484906"</v>
      </c>
      <c r="Z242" t="str">
        <f t="shared" si="52"/>
        <v>&lt;br&gt;&lt;a href="https://doi.org/10.1021/acs.orglett.5c00146.s001"&gt;https://doi.org/10.1021/acs.orglett.5c00146.s001&lt;/a&gt;</v>
      </c>
      <c r="AA242" t="str">
        <f t="shared" si="53"/>
        <v/>
      </c>
    </row>
    <row r="243" spans="1:27" x14ac:dyDescent="0.35">
      <c r="A243">
        <v>242</v>
      </c>
      <c r="B243" s="5" t="str">
        <f t="shared" si="42"/>
        <v>ol5c00325</v>
      </c>
      <c r="C243" s="1" t="str">
        <f t="shared" si="43"/>
        <v>ol5c00325</v>
      </c>
      <c r="D243">
        <f>IF(F243=1,"",IF(AND(D242="",S242=S243),"",S243-SUM(F$2:F242)))</f>
        <v>125</v>
      </c>
      <c r="E243" t="str">
        <f t="shared" si="44"/>
        <v>0</v>
      </c>
      <c r="F243">
        <v>0</v>
      </c>
      <c r="H243">
        <v>23</v>
      </c>
      <c r="I243">
        <v>23</v>
      </c>
      <c r="M243" t="str">
        <f t="shared" si="45"/>
        <v>/*125 ol5c00325 */"https://doi.org/10.1021/acs.orglett.5c00325.s002",//Trifluoromethylation on a Nucleoside Sugar Scaffold: Design and Synthesis of 6′-Trifluoromethylcyclopentenyl-purine and -pyrimidine Nucleosides</v>
      </c>
      <c r="N243" t="e">
        <f t="shared" si="46"/>
        <v>#N/A</v>
      </c>
      <c r="O243" t="b">
        <f t="shared" si="47"/>
        <v>0</v>
      </c>
      <c r="P243" s="13" t="s">
        <v>893</v>
      </c>
      <c r="Q243" s="13" t="s">
        <v>894</v>
      </c>
      <c r="R243" t="str">
        <f t="shared" si="48"/>
        <v>002</v>
      </c>
      <c r="S243">
        <f t="shared" si="54"/>
        <v>167</v>
      </c>
      <c r="T243" s="13" t="str">
        <f>VLOOKUP(Q243,original!B:C,2,FALSE)</f>
        <v>Trifluoromethylation on a Nucleoside Sugar Scaffold: Design and Synthesis of 6′-Trifluoromethylcyclopentenyl-purine and -pyrimidine Nucleosides</v>
      </c>
      <c r="U243" s="13" t="s">
        <v>895</v>
      </c>
      <c r="V243" t="str">
        <f t="shared" si="49"/>
        <v>ol5c00325</v>
      </c>
      <c r="W243" t="str">
        <f t="shared" si="50"/>
        <v>ol5c00325_si_002.zip</v>
      </c>
      <c r="X243" t="str">
        <f t="shared" si="51"/>
        <v>https://acs.figshare.com/articles/dataset/Trifluoromethylation_on_a_Nucleoside_Sugar_Scaffold_Design_and_Synthesis_of_6_-Trifluoromethylcyclopentenyl-purine_and_-pyrimidine_Nucleosides/28502038</v>
      </c>
      <c r="Y243" s="1" t="str">
        <f t="shared" si="55"/>
        <v>--localSource c:/temp/acs2/data --targetDir c:/temp/acs2/$DOI$ --noDownload --readOnly  --pubDOI https://doi.org/10.1021/acs.orglett.5c00325 --dataDOI "10.1021/acs.orglett.5c00325https://acs.figshare.com/articles/dataset/Trifluoromethylation_on_a_Nucleoside_Sugar_Scaffold_Design_and_Synthesis_of_6_-Trifluoromethylcyclopentenyl-purine_and_-pyrimidine_Nucleosides/28502038"</v>
      </c>
      <c r="Z243" t="str">
        <f t="shared" si="52"/>
        <v>&lt;br&gt;&lt;a href="https://doi.org/10.1021/acs.orglett.5c00325.s002"&gt;https://doi.org/10.1021/acs.orglett.5c00325.s002&lt;/a&gt;</v>
      </c>
      <c r="AA243" t="str">
        <f t="shared" si="53"/>
        <v/>
      </c>
    </row>
    <row r="244" spans="1:27" x14ac:dyDescent="0.35">
      <c r="A244">
        <v>243</v>
      </c>
      <c r="B244" s="5" t="str">
        <f t="shared" si="42"/>
        <v>ol5c00429</v>
      </c>
      <c r="C244" s="1" t="str">
        <f t="shared" si="43"/>
        <v>#ol5c00429 404</v>
      </c>
      <c r="D244" t="str">
        <f>IF(F244=1,"",IF(AND(D243="",S243=S244),"",S244-SUM(F$2:F243)))</f>
        <v/>
      </c>
      <c r="E244" t="str">
        <f t="shared" si="44"/>
        <v>0</v>
      </c>
      <c r="F244">
        <v>1</v>
      </c>
      <c r="G244" s="6">
        <v>404</v>
      </c>
      <c r="H244" s="6"/>
      <c r="I244" s="6"/>
      <c r="M244" t="str">
        <f t="shared" si="45"/>
        <v/>
      </c>
      <c r="N244" t="e">
        <f t="shared" si="46"/>
        <v>#N/A</v>
      </c>
      <c r="O244" t="b">
        <f t="shared" si="47"/>
        <v>0</v>
      </c>
      <c r="P244" s="13" t="s">
        <v>845</v>
      </c>
      <c r="Q244" s="13" t="s">
        <v>846</v>
      </c>
      <c r="R244" t="str">
        <f t="shared" si="48"/>
        <v>001</v>
      </c>
      <c r="S244">
        <f t="shared" si="54"/>
        <v>168</v>
      </c>
      <c r="T244" s="13" t="str">
        <f>VLOOKUP(Q244,original!B:C,2,FALSE)</f>
        <v>Visible Light-Mediated Selective Synthesis of β‑Amino Sulfide Scaffolds via Dual Role of N‑Iodosuccinimide</v>
      </c>
      <c r="U244" s="13" t="s">
        <v>847</v>
      </c>
      <c r="V244" t="str">
        <f t="shared" si="49"/>
        <v>ol5c00429</v>
      </c>
      <c r="W244" t="str">
        <f t="shared" si="50"/>
        <v>ol5c00429_si_001.zip</v>
      </c>
      <c r="X244" t="str">
        <f t="shared" si="51"/>
        <v>https://acs.figshare.com/articles/dataset/Visible_Light-Mediated_Selective_Synthesis_of_Amino_Sulfide_Scaffolds_via_Dual_Role_of_i_N_i_Iodosuccinimide/28548408</v>
      </c>
      <c r="Y244" s="1" t="str">
        <f t="shared" si="55"/>
        <v>--localSource c:/temp/acs2/data --targetDir c:/temp/acs2/$DOI$ --noDownload --readOnly  --pubDOI https://doi.org/10.1021/acs.orglett.5c00429 --dataDOI "10.1021/acs.orglett.5c00429https://acs.figshare.com/articles/dataset/Visible_Light-Mediated_Selective_Synthesis_of_Amino_Sulfide_Scaffolds_via_Dual_Role_of_i_N_i_Iodosuccinimide/28548408"</v>
      </c>
      <c r="Z244" t="str">
        <f t="shared" si="52"/>
        <v>&lt;br&gt;&lt;a href="https://doi.org/10.1021/acs.orglett.5c00429.s001"&gt;https://doi.org/10.1021/acs.orglett.5c00429.s001&lt;/a&gt;</v>
      </c>
      <c r="AA244" t="str">
        <f t="shared" si="53"/>
        <v/>
      </c>
    </row>
    <row r="245" spans="1:27" x14ac:dyDescent="0.35">
      <c r="A245">
        <v>244</v>
      </c>
      <c r="B245" s="5" t="str">
        <f t="shared" si="42"/>
        <v>ol5c00493</v>
      </c>
      <c r="C245" s="1" t="str">
        <f t="shared" si="43"/>
        <v>#ol5c00493 RAR</v>
      </c>
      <c r="D245" t="str">
        <f>IF(F245=1,"",IF(AND(D244="",S244=S245),"",S245-SUM(F$2:F244)))</f>
        <v/>
      </c>
      <c r="E245" t="str">
        <f t="shared" si="44"/>
        <v>0</v>
      </c>
      <c r="F245">
        <v>1</v>
      </c>
      <c r="G245" s="7" t="s">
        <v>1128</v>
      </c>
      <c r="H245" s="7" t="s">
        <v>1290</v>
      </c>
      <c r="I245" s="7"/>
      <c r="M245" t="str">
        <f t="shared" si="45"/>
        <v/>
      </c>
      <c r="N245" t="e">
        <f t="shared" si="46"/>
        <v>#N/A</v>
      </c>
      <c r="O245" t="b">
        <f t="shared" si="47"/>
        <v>0</v>
      </c>
      <c r="P245" s="13" t="s">
        <v>826</v>
      </c>
      <c r="Q245" s="13" t="s">
        <v>827</v>
      </c>
      <c r="R245" t="str">
        <f t="shared" si="48"/>
        <v>001</v>
      </c>
      <c r="S245">
        <f t="shared" si="54"/>
        <v>169</v>
      </c>
      <c r="T245" s="13" t="str">
        <f>VLOOKUP(Q245,original!B:C,2,FALSE)</f>
        <v>Lewis Acid-Mediated Domino Glycosylation/Cyclization of Substituted Glycals: A Stereoselective Route Toward the Synthesis of 1,2-Annulated C‑Glycosides</v>
      </c>
      <c r="U245" s="13" t="s">
        <v>828</v>
      </c>
      <c r="V245" t="str">
        <f t="shared" si="49"/>
        <v>ol5c00493</v>
      </c>
      <c r="W245" t="str">
        <f t="shared" si="50"/>
        <v>ol5c00493_si_001.zip</v>
      </c>
      <c r="X245" t="str">
        <f t="shared" si="51"/>
        <v>https://acs.figshare.com/articles/dataset/Lewis_Acid-Mediated_Domino_Glycosylation_Cyclization_of_Substituted_Glycals_A_Stereoselective_Route_Toward_the_Synthesis_of_1_2-Annulated_C_Glycosides/28600110</v>
      </c>
      <c r="Y245" s="1" t="str">
        <f t="shared" si="55"/>
        <v>--localSource c:/temp/acs2/data --targetDir c:/temp/acs2/$DOI$ --noDownload --readOnly  --pubDOI https://doi.org/10.1021/acs.orglett.5c00493 --dataDOI "10.1021/acs.orglett.5c00493https://acs.figshare.com/articles/dataset/Lewis_Acid-Mediated_Domino_Glycosylation_Cyclization_of_Substituted_Glycals_A_Stereoselective_Route_Toward_the_Synthesis_of_1_2-Annulated_C_Glycosides/28600110"</v>
      </c>
      <c r="Z245" t="str">
        <f t="shared" si="52"/>
        <v>&lt;br&gt;&lt;a href="https://doi.org/10.1021/acs.orglett.5c00493.s001"&gt;https://doi.org/10.1021/acs.orglett.5c00493.s001&lt;/a&gt;</v>
      </c>
      <c r="AA245" t="str">
        <f t="shared" si="53"/>
        <v/>
      </c>
    </row>
    <row r="246" spans="1:27" x14ac:dyDescent="0.35">
      <c r="A246">
        <v>245</v>
      </c>
      <c r="B246" s="5" t="str">
        <f t="shared" si="42"/>
        <v>ol5c00519</v>
      </c>
      <c r="C246" s="1" t="str">
        <f t="shared" si="43"/>
        <v>ol5c00519</v>
      </c>
      <c r="D246">
        <f>IF(F246=1,"",IF(AND(D245="",S245=S246),"",S246-SUM(F$2:F245)))</f>
        <v>126</v>
      </c>
      <c r="E246" t="str">
        <f t="shared" si="44"/>
        <v>0</v>
      </c>
      <c r="F246">
        <v>0</v>
      </c>
      <c r="H246">
        <v>52</v>
      </c>
      <c r="I246">
        <v>105</v>
      </c>
      <c r="J246">
        <v>52</v>
      </c>
      <c r="M246" t="str">
        <f t="shared" si="45"/>
        <v>/*126 ol5c00519 */"https://doi.org/10.1021/acs.orglett.5c00519.s002",//Pyridyl Pyrimidylsulfones as Latent Pyridyl Nucleophiles in Palladium-Catalyzed Cross-Coupling Reactions</v>
      </c>
      <c r="N246" t="e">
        <f t="shared" si="46"/>
        <v>#N/A</v>
      </c>
      <c r="O246" t="b">
        <f t="shared" si="47"/>
        <v>0</v>
      </c>
      <c r="P246" s="13" t="s">
        <v>819</v>
      </c>
      <c r="Q246" s="13" t="s">
        <v>820</v>
      </c>
      <c r="R246" t="str">
        <f t="shared" si="48"/>
        <v>002</v>
      </c>
      <c r="S246">
        <f t="shared" si="54"/>
        <v>170</v>
      </c>
      <c r="T246" s="13" t="str">
        <f>VLOOKUP(Q246,original!B:C,2,FALSE)</f>
        <v>Pyridyl Pyrimidylsulfones as Latent Pyridyl Nucleophiles in Palladium-Catalyzed Cross-Coupling Reactions</v>
      </c>
      <c r="U246" s="13" t="s">
        <v>822</v>
      </c>
      <c r="V246" t="str">
        <f t="shared" si="49"/>
        <v>ol5c00519</v>
      </c>
      <c r="W246" t="str">
        <f t="shared" si="50"/>
        <v>ol5c00519_si_002.zip</v>
      </c>
      <c r="X246" t="str">
        <f t="shared" si="51"/>
        <v>https://acs.figshare.com/articles/dataset/Pyridyl_Pyrimidylsulfones_as_Latent_Pyridyl_Nucleophiles_in_Palladium-Catalyzed_Cross-Coupling_Reactions/28615116</v>
      </c>
      <c r="Y246" s="1" t="str">
        <f t="shared" si="55"/>
        <v>--localSource c:/temp/acs2/data --targetDir c:/temp/acs2/$DOI$ --noDownload --readOnly  --pubDOI https://doi.org/10.1021/acs.orglett.5c00519 --dataDOI "10.1021/acs.orglett.5c00519https://acs.figshare.com/articles/dataset/Pyridyl_Pyrimidylsulfones_as_Latent_Pyridyl_Nucleophiles_in_Palladium-Catalyzed_Cross-Coupling_Reactions/28615116"</v>
      </c>
      <c r="Z246" t="str">
        <f t="shared" si="52"/>
        <v>&lt;br&gt;&lt;a href="https://doi.org/10.1021/acs.orglett.5c00519.s002"&gt;https://doi.org/10.1021/acs.orglett.5c00519.s002&lt;/a&gt;</v>
      </c>
      <c r="AA246" t="str">
        <f t="shared" si="53"/>
        <v/>
      </c>
    </row>
    <row r="247" spans="1:27" x14ac:dyDescent="0.35">
      <c r="A247">
        <v>246</v>
      </c>
      <c r="B247" s="5" t="str">
        <f t="shared" si="42"/>
        <v>ol5c00576</v>
      </c>
      <c r="C247" s="1" t="str">
        <f t="shared" si="43"/>
        <v>ol5c00576</v>
      </c>
      <c r="D247">
        <f>IF(F247=1,"",IF(AND(D246="",S246=S247),"",S247-SUM(F$2:F246)))</f>
        <v>127</v>
      </c>
      <c r="E247" t="str">
        <f t="shared" si="44"/>
        <v>0</v>
      </c>
      <c r="F247">
        <v>0</v>
      </c>
      <c r="H247">
        <v>146</v>
      </c>
      <c r="I247">
        <v>100</v>
      </c>
      <c r="J247">
        <v>114</v>
      </c>
      <c r="M247" t="str">
        <f t="shared" si="45"/>
        <v>/*127 ol5c00576 */"https://doi.org/10.1021/acs.orglett.5c00576.s002",//A Metal-Catalyzed Tunable Reaction of Ylides with Hydroxylamine Derivatives</v>
      </c>
      <c r="N247" t="e">
        <f t="shared" si="46"/>
        <v>#N/A</v>
      </c>
      <c r="O247" t="b">
        <f t="shared" si="47"/>
        <v>0</v>
      </c>
      <c r="P247" s="13" t="s">
        <v>776</v>
      </c>
      <c r="Q247" s="13" t="s">
        <v>777</v>
      </c>
      <c r="R247" t="str">
        <f t="shared" si="48"/>
        <v>002</v>
      </c>
      <c r="S247">
        <f t="shared" si="54"/>
        <v>171</v>
      </c>
      <c r="T247" s="13" t="str">
        <f>VLOOKUP(Q247,original!B:C,2,FALSE)</f>
        <v>A Metal-Catalyzed Tunable Reaction of Ylides with Hydroxylamine Derivatives</v>
      </c>
      <c r="U247" s="13" t="s">
        <v>779</v>
      </c>
      <c r="V247" t="str">
        <f t="shared" si="49"/>
        <v>ol5c00576</v>
      </c>
      <c r="W247" t="str">
        <f t="shared" si="50"/>
        <v>ol5c00576_si_002.zip</v>
      </c>
      <c r="X247" t="str">
        <f t="shared" si="51"/>
        <v>https://acs.figshare.com/articles/dataset/A_Metal-Catalyzed_Tunable_Reaction_of_Ylides_with_Hydroxylamine_Derivatives/28659970</v>
      </c>
      <c r="Y247" s="1" t="str">
        <f t="shared" si="55"/>
        <v>--localSource c:/temp/acs2/data --targetDir c:/temp/acs2/$DOI$ --noDownload --readOnly  --pubDOI https://doi.org/10.1021/acs.orglett.5c00576 --dataDOI "10.1021/acs.orglett.5c00576https://acs.figshare.com/articles/dataset/A_Metal-Catalyzed_Tunable_Reaction_of_Ylides_with_Hydroxylamine_Derivatives/28659970"</v>
      </c>
      <c r="Z247" t="str">
        <f t="shared" si="52"/>
        <v>&lt;br&gt;&lt;a href="https://doi.org/10.1021/acs.orglett.5c00576.s002"&gt;https://doi.org/10.1021/acs.orglett.5c00576.s002&lt;/a&gt;</v>
      </c>
      <c r="AA247" t="str">
        <f t="shared" si="53"/>
        <v/>
      </c>
    </row>
    <row r="248" spans="1:27" x14ac:dyDescent="0.35">
      <c r="A248">
        <v>247</v>
      </c>
      <c r="B248" s="5" t="str">
        <f t="shared" si="42"/>
        <v>ol5c00600</v>
      </c>
      <c r="C248" s="1" t="str">
        <f t="shared" si="43"/>
        <v>ol5c00600</v>
      </c>
      <c r="D248">
        <f>IF(F248=1,"",IF(AND(D247="",S247=S248),"",S248-SUM(F$2:F247)))</f>
        <v>128</v>
      </c>
      <c r="E248" t="str">
        <f t="shared" si="44"/>
        <v>0</v>
      </c>
      <c r="F248">
        <v>0</v>
      </c>
      <c r="H248">
        <v>48</v>
      </c>
      <c r="I248">
        <v>102</v>
      </c>
      <c r="M248" t="str">
        <f t="shared" si="45"/>
        <v>/*128 ol5c00600 */"https://doi.org/10.1021/acs.orglett.5c00600.s002",//Direct Synthesis of Amides from Nitro Compounds and Alcohols via Borrowing Hydrogenation</v>
      </c>
      <c r="N248" t="e">
        <f t="shared" si="46"/>
        <v>#N/A</v>
      </c>
      <c r="O248" t="b">
        <f t="shared" si="47"/>
        <v>0</v>
      </c>
      <c r="P248" s="13" t="s">
        <v>766</v>
      </c>
      <c r="Q248" s="13" t="s">
        <v>767</v>
      </c>
      <c r="R248" t="str">
        <f t="shared" si="48"/>
        <v>002</v>
      </c>
      <c r="S248">
        <f t="shared" si="54"/>
        <v>172</v>
      </c>
      <c r="T248" s="13" t="str">
        <f>VLOOKUP(Q248,original!B:C,2,FALSE)</f>
        <v>Direct Synthesis of Amides from Nitro Compounds and Alcohols via Borrowing Hydrogenation</v>
      </c>
      <c r="U248" s="13" t="s">
        <v>769</v>
      </c>
      <c r="V248" t="str">
        <f t="shared" si="49"/>
        <v>ol5c00600</v>
      </c>
      <c r="W248" t="str">
        <f t="shared" si="50"/>
        <v>ol5c00600_si_002.zip</v>
      </c>
      <c r="X248" t="str">
        <f t="shared" si="51"/>
        <v>https://acs.figshare.com/articles/dataset/Direct_Synthesis_of_Amides_from_Nitro_Compounds_and_Alcohols_via_Borrowing_Hydrogenation/28678442</v>
      </c>
      <c r="Y248" s="1" t="str">
        <f t="shared" si="55"/>
        <v>--localSource c:/temp/acs2/data --targetDir c:/temp/acs2/$DOI$ --noDownload --readOnly  --pubDOI https://doi.org/10.1021/acs.orglett.5c00600 --dataDOI "10.1021/acs.orglett.5c00600https://acs.figshare.com/articles/dataset/Direct_Synthesis_of_Amides_from_Nitro_Compounds_and_Alcohols_via_Borrowing_Hydrogenation/28678442"</v>
      </c>
      <c r="Z248" t="str">
        <f t="shared" si="52"/>
        <v>&lt;br&gt;&lt;a href="https://doi.org/10.1021/acs.orglett.5c00600.s002"&gt;https://doi.org/10.1021/acs.orglett.5c00600.s002&lt;/a&gt;</v>
      </c>
      <c r="AA248" t="str">
        <f t="shared" si="53"/>
        <v/>
      </c>
    </row>
    <row r="249" spans="1:27" x14ac:dyDescent="0.35">
      <c r="A249">
        <v>248</v>
      </c>
      <c r="B249" s="5" t="str">
        <f t="shared" si="42"/>
        <v>ol5c00623</v>
      </c>
      <c r="C249" s="1" t="str">
        <f t="shared" si="43"/>
        <v>ol5c00623</v>
      </c>
      <c r="D249">
        <f>IF(F249=1,"",IF(AND(D248="",S248=S249),"",S249-SUM(F$2:F248)))</f>
        <v>129</v>
      </c>
      <c r="E249" t="str">
        <f t="shared" si="44"/>
        <v>0</v>
      </c>
      <c r="F249">
        <v>0</v>
      </c>
      <c r="H249">
        <v>156</v>
      </c>
      <c r="I249">
        <v>156</v>
      </c>
      <c r="M249" t="str">
        <f t="shared" si="45"/>
        <v>/*129 ol5c00623 */"https://doi.org/10.1021/acs.orglett.5c00623.s002",//Fe/Mn-Synergistic Promoted C(sp3)–Bi Cross-Coupling of Alkyl Chlorides with Chlorobismuthanes to Access Air-Stable Alkylbismuthanes</v>
      </c>
      <c r="N249" t="e">
        <f t="shared" si="46"/>
        <v>#N/A</v>
      </c>
      <c r="O249" t="b">
        <f t="shared" si="47"/>
        <v>0</v>
      </c>
      <c r="P249" s="13" t="s">
        <v>760</v>
      </c>
      <c r="Q249" s="13" t="s">
        <v>761</v>
      </c>
      <c r="R249" t="str">
        <f t="shared" si="48"/>
        <v>002</v>
      </c>
      <c r="S249">
        <f t="shared" si="54"/>
        <v>173</v>
      </c>
      <c r="T249" s="13" t="str">
        <f>VLOOKUP(Q249,original!B:C,2,FALSE)</f>
        <v>Fe/Mn-Synergistic Promoted C(sp3)–Bi Cross-Coupling of Alkyl Chlorides with Chlorobismuthanes to Access Air-Stable Alkylbismuthanes</v>
      </c>
      <c r="U249" s="13" t="s">
        <v>762</v>
      </c>
      <c r="V249" t="str">
        <f t="shared" si="49"/>
        <v>ol5c00623</v>
      </c>
      <c r="W249" t="str">
        <f t="shared" si="50"/>
        <v>ol5c00623_si_002.zip</v>
      </c>
      <c r="X249" t="str">
        <f t="shared" si="51"/>
        <v>https://acs.figshare.com/articles/dataset/Fe_Mn-Synergistic_Promoted_C_sp_sup_3_sup_Bi_Cross-Coupling_of_Alkyl_Chlorides_with_Chlorobismuthanes_to_Access_Air-Stable_Alkylbismuthanes/28684420</v>
      </c>
      <c r="Y249" s="1" t="str">
        <f t="shared" si="55"/>
        <v>--localSource c:/temp/acs2/data --targetDir c:/temp/acs2/$DOI$ --noDownload --readOnly  --pubDOI https://doi.org/10.1021/acs.orglett.5c00623 --dataDOI "10.1021/acs.orglett.5c00623https://acs.figshare.com/articles/dataset/Fe_Mn-Synergistic_Promoted_C_sp_sup_3_sup_Bi_Cross-Coupling_of_Alkyl_Chlorides_with_Chlorobismuthanes_to_Access_Air-Stable_Alkylbismuthanes/28684420"</v>
      </c>
      <c r="Z249" t="str">
        <f t="shared" si="52"/>
        <v>&lt;br&gt;&lt;a href="https://doi.org/10.1021/acs.orglett.5c00623.s002"&gt;https://doi.org/10.1021/acs.orglett.5c00623.s002&lt;/a&gt;</v>
      </c>
      <c r="AA249" t="str">
        <f t="shared" si="53"/>
        <v/>
      </c>
    </row>
    <row r="250" spans="1:27" x14ac:dyDescent="0.35">
      <c r="A250">
        <v>249</v>
      </c>
      <c r="B250" s="5" t="str">
        <f t="shared" si="42"/>
        <v>ol5c00666</v>
      </c>
      <c r="C250" s="1" t="str">
        <f t="shared" si="43"/>
        <v/>
      </c>
      <c r="D250">
        <f>IF(F250=1,"",IF(AND(D249="",S249=S250),"",S250-SUM(F$2:F249)))</f>
        <v>130</v>
      </c>
      <c r="E250" t="str">
        <f t="shared" si="44"/>
        <v>0</v>
      </c>
      <c r="F250">
        <v>0</v>
      </c>
      <c r="M250" t="str">
        <f t="shared" si="45"/>
        <v>/*130 ol5c00666 */"https://doi.org/10.1021/acs.orglett.5c00666.s002",//Synthesis of Dithioester Derivatives by Base-Mediated Fragmentation of 1,3-Dithiolanes</v>
      </c>
      <c r="N250" t="e">
        <f t="shared" si="46"/>
        <v>#N/A</v>
      </c>
      <c r="O250" t="b">
        <f t="shared" si="47"/>
        <v>0</v>
      </c>
      <c r="P250" s="13" t="s">
        <v>742</v>
      </c>
      <c r="Q250" s="13" t="s">
        <v>743</v>
      </c>
      <c r="R250" t="str">
        <f t="shared" si="48"/>
        <v>002</v>
      </c>
      <c r="S250">
        <f t="shared" si="54"/>
        <v>174</v>
      </c>
      <c r="T250" s="13" t="str">
        <f>VLOOKUP(Q250,original!B:C,2,FALSE)</f>
        <v>Synthesis of Dithioester Derivatives by Base-Mediated Fragmentation of 1,3-Dithiolanes</v>
      </c>
      <c r="U250" s="13" t="s">
        <v>739</v>
      </c>
      <c r="V250" t="str">
        <f t="shared" si="49"/>
        <v>ol5c00666</v>
      </c>
      <c r="W250" t="str">
        <f t="shared" si="50"/>
        <v>ol5c00666_si_002.zip</v>
      </c>
      <c r="X250" t="str">
        <f t="shared" si="51"/>
        <v>https://acs.figshare.com/articles/dataset/Synthesis_of_Dithioester_Derivatives_by_Base-Mediated_Fragmentation_of_1_3-Dithiolanes/28788384</v>
      </c>
      <c r="Y250" s="1" t="str">
        <f t="shared" si="55"/>
        <v/>
      </c>
      <c r="Z250" t="str">
        <f t="shared" si="52"/>
        <v>&lt;br&gt;&lt;a href="https://doi.org/10.1021/acs.orglett.5c00666.s002"&gt;https://doi.org/10.1021/acs.orglett.5c00666.s002&lt;/a&gt;</v>
      </c>
      <c r="AA250" t="str">
        <f t="shared" si="53"/>
        <v/>
      </c>
    </row>
    <row r="251" spans="1:27" x14ac:dyDescent="0.35">
      <c r="A251">
        <v>250</v>
      </c>
      <c r="B251" s="5" t="str">
        <f t="shared" si="42"/>
        <v>ol5c00666</v>
      </c>
      <c r="C251" s="1" t="str">
        <f t="shared" si="43"/>
        <v/>
      </c>
      <c r="D251">
        <f>IF(F251=1,"",IF(AND(D250="",S250=S251),"",S251-SUM(F$2:F250)))</f>
        <v>130</v>
      </c>
      <c r="E251" t="str">
        <f t="shared" si="44"/>
        <v>1</v>
      </c>
      <c r="F251">
        <v>0</v>
      </c>
      <c r="M251" t="str">
        <f t="shared" si="45"/>
        <v>/*130 ol5c00666 */"https://doi.org/10.1021/acs.orglett.5c00666.s003",//Synthesis of Dithioester Derivatives by Base-Mediated Fragmentation of 1,3-Dithiolanes</v>
      </c>
      <c r="N251" t="e">
        <f t="shared" si="46"/>
        <v>#N/A</v>
      </c>
      <c r="O251" t="b">
        <f t="shared" si="47"/>
        <v>0</v>
      </c>
      <c r="P251" s="13" t="s">
        <v>740</v>
      </c>
      <c r="Q251" s="13" t="s">
        <v>741</v>
      </c>
      <c r="R251" t="str">
        <f t="shared" si="48"/>
        <v>003</v>
      </c>
      <c r="S251">
        <f t="shared" si="54"/>
        <v>174</v>
      </c>
      <c r="T251" s="13" t="str">
        <f>VLOOKUP(Q251,original!B:C,2,FALSE)</f>
        <v>Synthesis of Dithioester Derivatives by Base-Mediated Fragmentation of 1,3-Dithiolanes</v>
      </c>
      <c r="U251" s="13" t="s">
        <v>739</v>
      </c>
      <c r="V251" t="str">
        <f t="shared" si="49"/>
        <v>ol5c00666</v>
      </c>
      <c r="W251" t="str">
        <f t="shared" si="50"/>
        <v>ol5c00666_si_003.zip</v>
      </c>
      <c r="X251" t="str">
        <f t="shared" si="51"/>
        <v>https://acs.figshare.com/articles/dataset/Synthesis_of_Dithioester_Derivatives_by_Base-Mediated_Fragmentation_of_1_3-Dithiolanes/28788384\thttps://acs.figshare.com/articles/dataset/Synthesis_of_Dithioester_Derivatives_by_Base-Mediated_Fragmentation_of_1_3-Dithiolanes/28788387</v>
      </c>
      <c r="Y251" s="1" t="str">
        <f t="shared" si="55"/>
        <v/>
      </c>
      <c r="Z251" t="str">
        <f t="shared" si="52"/>
        <v>&lt;br&gt;&lt;a href="https://doi.org/10.1021/acs.orglett.5c00666.s003"&gt;https://doi.org/10.1021/acs.orglett.5c00666.s003&lt;/a&gt;</v>
      </c>
      <c r="AA251" t="str">
        <f t="shared" si="53"/>
        <v/>
      </c>
    </row>
    <row r="252" spans="1:27" x14ac:dyDescent="0.35">
      <c r="A252">
        <v>251</v>
      </c>
      <c r="B252" s="5" t="str">
        <f t="shared" si="42"/>
        <v>ol5c00666</v>
      </c>
      <c r="C252" s="1" t="str">
        <f t="shared" si="43"/>
        <v>ol5c00666</v>
      </c>
      <c r="D252">
        <f>IF(F252=1,"",IF(AND(D251="",S251=S252),"",S252-SUM(F$2:F251)))</f>
        <v>130</v>
      </c>
      <c r="E252" t="str">
        <f t="shared" si="44"/>
        <v>1</v>
      </c>
      <c r="F252">
        <v>0</v>
      </c>
      <c r="H252">
        <v>216</v>
      </c>
      <c r="I252">
        <v>361</v>
      </c>
      <c r="M252" t="str">
        <f t="shared" si="45"/>
        <v>/*130 ol5c00666 */"https://doi.org/10.1021/acs.orglett.5c00666.s004",//Synthesis of Dithioester Derivatives by Base-Mediated Fragmentation of 1,3-Dithiolanes</v>
      </c>
      <c r="N252" t="e">
        <f t="shared" si="46"/>
        <v>#N/A</v>
      </c>
      <c r="O252" t="b">
        <f t="shared" si="47"/>
        <v>0</v>
      </c>
      <c r="P252" s="13" t="s">
        <v>736</v>
      </c>
      <c r="Q252" s="13" t="s">
        <v>737</v>
      </c>
      <c r="R252" t="str">
        <f t="shared" si="48"/>
        <v>004</v>
      </c>
      <c r="S252">
        <f t="shared" si="54"/>
        <v>174</v>
      </c>
      <c r="T252" s="13" t="str">
        <f>VLOOKUP(Q252,original!B:C,2,FALSE)</f>
        <v>Synthesis of Dithioester Derivatives by Base-Mediated Fragmentation of 1,3-Dithiolanes</v>
      </c>
      <c r="U252" s="13" t="s">
        <v>739</v>
      </c>
      <c r="V252" t="str">
        <f t="shared" si="49"/>
        <v>ol5c00666</v>
      </c>
      <c r="W252" t="str">
        <f t="shared" si="50"/>
        <v>ol5c00666_si_004.zip</v>
      </c>
      <c r="X252" t="str">
        <f t="shared" si="51"/>
        <v>https://acs.figshare.com/articles/dataset/Synthesis_of_Dithioester_Derivatives_by_Base-Mediated_Fragmentation_of_1_3-Dithiolanes/28788384\thttps://acs.figshare.com/articles/dataset/Synthesis_of_Dithioester_Derivatives_by_Base-Mediated_Fragmentation_of_1_3-Dithiolanes/28788387\thttps://acs.figshare.com/articles/dataset/Synthesis_of_Dithioester_Derivatives_by_Base-Mediated_Fragmentation_of_1_3-Dithiolanes/28788390</v>
      </c>
      <c r="Y252" s="1" t="str">
        <f t="shared" si="55"/>
        <v>--localSource c:/temp/acs2/data --targetDir c:/temp/acs2/$DOI$ --noDownload --readOnly  --pubDOI https://doi.org/10.1021/acs.orglett.5c00666 --dataDOI "10.1021/acs.orglett.5c00666https://acs.figshare.com/articles/dataset/Synthesis_of_Dithioester_Derivatives_by_Base-Mediated_Fragmentation_of_1_3-Dithiolanes/28788384\thttps://acs.figshare.com/articles/dataset/Synthesis_of_Dithioester_Derivatives_by_Base-Mediated_Fragmentation_of_1_3-Dithiolanes/28788387\thttps://acs.figshare.com/articles/dataset/Synthesis_of_Dithioester_Derivatives_by_Base-Mediated_Fragmentation_of_1_3-Dithiolanes/28788390"</v>
      </c>
      <c r="Z252" t="str">
        <f t="shared" si="52"/>
        <v>&lt;br&gt;&lt;a href="https://doi.org/10.1021/acs.orglett.5c00666.s004"&gt;https://doi.org/10.1021/acs.orglett.5c00666.s004&lt;/a&gt;</v>
      </c>
      <c r="AA252" t="str">
        <f t="shared" si="53"/>
        <v/>
      </c>
    </row>
    <row r="253" spans="1:27" x14ac:dyDescent="0.35">
      <c r="A253">
        <v>252</v>
      </c>
      <c r="B253" s="5" t="str">
        <f t="shared" si="42"/>
        <v>ol5c00705</v>
      </c>
      <c r="C253" s="1" t="str">
        <f t="shared" si="43"/>
        <v>ol5c00705</v>
      </c>
      <c r="D253">
        <f>IF(F253=1,"",IF(AND(D252="",S252=S253),"",S253-SUM(F$2:F252)))</f>
        <v>131</v>
      </c>
      <c r="E253" t="str">
        <f t="shared" si="44"/>
        <v>0</v>
      </c>
      <c r="F253">
        <v>0</v>
      </c>
      <c r="H253">
        <v>36</v>
      </c>
      <c r="I253">
        <v>155</v>
      </c>
      <c r="M253" t="str">
        <f t="shared" si="45"/>
        <v>/*131 ol5c00705 */"https://doi.org/10.1021/acs.orglett.5c00705.s002",//Generation and Use of Bicyclo[1.1.0]butyllithium under Continuous Flow Conditions</v>
      </c>
      <c r="N253" t="e">
        <f t="shared" si="46"/>
        <v>#N/A</v>
      </c>
      <c r="O253" t="b">
        <f t="shared" si="47"/>
        <v>0</v>
      </c>
      <c r="P253" s="13" t="s">
        <v>811</v>
      </c>
      <c r="Q253" s="13" t="s">
        <v>812</v>
      </c>
      <c r="R253" t="str">
        <f t="shared" si="48"/>
        <v>002</v>
      </c>
      <c r="S253">
        <f t="shared" si="54"/>
        <v>175</v>
      </c>
      <c r="T253" s="13" t="str">
        <f>VLOOKUP(Q253,original!B:C,2,FALSE)</f>
        <v>Generation and Use of Bicyclo[1.1.0]butyllithium under Continuous Flow Conditions</v>
      </c>
      <c r="U253" s="13" t="s">
        <v>814</v>
      </c>
      <c r="V253" t="str">
        <f t="shared" si="49"/>
        <v>ol5c00705</v>
      </c>
      <c r="W253" t="str">
        <f t="shared" si="50"/>
        <v>ol5c00705_si_002.zip</v>
      </c>
      <c r="X253" t="str">
        <f t="shared" si="51"/>
        <v>https://acs.figshare.com/articles/dataset/Generation_and_Use_of_Bicyclo_1_1_0_butyllithium_under_Continuous_Flow_Conditions/28632551</v>
      </c>
      <c r="Y253" s="1" t="str">
        <f t="shared" si="55"/>
        <v>--localSource c:/temp/acs2/data --targetDir c:/temp/acs2/$DOI$ --noDownload --readOnly  --pubDOI https://doi.org/10.1021/acs.orglett.5c00705 --dataDOI "10.1021/acs.orglett.5c00705https://acs.figshare.com/articles/dataset/Generation_and_Use_of_Bicyclo_1_1_0_butyllithium_under_Continuous_Flow_Conditions/28632551"</v>
      </c>
      <c r="Z253" t="str">
        <f t="shared" si="52"/>
        <v>&lt;br&gt;&lt;a href="https://doi.org/10.1021/acs.orglett.5c00705.s002"&gt;https://doi.org/10.1021/acs.orglett.5c00705.s002&lt;/a&gt;</v>
      </c>
      <c r="AA253" t="str">
        <f t="shared" si="53"/>
        <v/>
      </c>
    </row>
    <row r="254" spans="1:27" x14ac:dyDescent="0.35">
      <c r="A254">
        <v>253</v>
      </c>
      <c r="B254" s="5" t="str">
        <f t="shared" si="42"/>
        <v>ol5c00711</v>
      </c>
      <c r="C254" s="1" t="str">
        <f t="shared" si="43"/>
        <v/>
      </c>
      <c r="D254">
        <f>IF(F254=1,"",IF(AND(D253="",S253=S254),"",S254-SUM(F$2:F253)))</f>
        <v>132</v>
      </c>
      <c r="E254" t="str">
        <f t="shared" si="44"/>
        <v>0</v>
      </c>
      <c r="F254">
        <v>0</v>
      </c>
      <c r="M254" t="str">
        <f t="shared" si="45"/>
        <v>/*132 ol5c00711 */"https://doi.org/10.1021/acs.orglett.5c00711.s002",//Highly Stereoselective [2 + 4] Annulation of Phosphenes and Enones with β‑Electron-Donating Groups</v>
      </c>
      <c r="N254" t="e">
        <f t="shared" si="46"/>
        <v>#N/A</v>
      </c>
      <c r="O254" t="b">
        <f t="shared" si="47"/>
        <v>0</v>
      </c>
      <c r="P254" s="13" t="s">
        <v>795</v>
      </c>
      <c r="Q254" s="13" t="s">
        <v>796</v>
      </c>
      <c r="R254" t="str">
        <f t="shared" si="48"/>
        <v>002</v>
      </c>
      <c r="S254">
        <f t="shared" si="54"/>
        <v>176</v>
      </c>
      <c r="T254" s="13" t="str">
        <f>VLOOKUP(Q254,original!B:C,2,FALSE)</f>
        <v>Highly Stereoselective [2 + 4] Annulation of Phosphenes and Enones with β‑Electron-Donating Groups</v>
      </c>
      <c r="U254" s="13" t="s">
        <v>794</v>
      </c>
      <c r="V254" t="str">
        <f t="shared" si="49"/>
        <v>ol5c00711</v>
      </c>
      <c r="W254" t="str">
        <f t="shared" si="50"/>
        <v>ol5c00711_si_002.zip</v>
      </c>
      <c r="X254" t="str">
        <f t="shared" si="51"/>
        <v>https://acs.figshare.com/articles/dataset/Highly_Stereoselective_2_4_Annulation_of_Phosphenes_and_Enones_with_Electron-Donating_Groups/28643964</v>
      </c>
      <c r="Y254" s="1" t="str">
        <f t="shared" si="55"/>
        <v/>
      </c>
      <c r="Z254" t="str">
        <f t="shared" si="52"/>
        <v>&lt;br&gt;&lt;a href="https://doi.org/10.1021/acs.orglett.5c00711.s002"&gt;https://doi.org/10.1021/acs.orglett.5c00711.s002&lt;/a&gt;</v>
      </c>
      <c r="AA254" t="str">
        <f t="shared" si="53"/>
        <v/>
      </c>
    </row>
    <row r="255" spans="1:27" x14ac:dyDescent="0.35">
      <c r="A255">
        <v>254</v>
      </c>
      <c r="B255" s="5" t="str">
        <f t="shared" si="42"/>
        <v>ol5c00711</v>
      </c>
      <c r="C255" s="1" t="str">
        <f t="shared" si="43"/>
        <v>ol5c00711</v>
      </c>
      <c r="D255">
        <f>IF(F255=1,"",IF(AND(D254="",S254=S255),"",S255-SUM(F$2:F254)))</f>
        <v>132</v>
      </c>
      <c r="E255" t="str">
        <f t="shared" si="44"/>
        <v>1</v>
      </c>
      <c r="F255">
        <v>0</v>
      </c>
      <c r="H255">
        <v>47</v>
      </c>
      <c r="I255">
        <v>136</v>
      </c>
      <c r="J255">
        <v>43</v>
      </c>
      <c r="M255" t="str">
        <f t="shared" si="45"/>
        <v>/*132 ol5c00711 */"https://doi.org/10.1021/acs.orglett.5c00711.s003",//Highly Stereoselective [2 + 4] Annulation of Phosphenes and Enones with β‑Electron-Donating Groups</v>
      </c>
      <c r="N255" t="e">
        <f t="shared" si="46"/>
        <v>#N/A</v>
      </c>
      <c r="O255" t="b">
        <f t="shared" si="47"/>
        <v>0</v>
      </c>
      <c r="P255" s="13" t="s">
        <v>792</v>
      </c>
      <c r="Q255" s="13" t="s">
        <v>793</v>
      </c>
      <c r="R255" t="str">
        <f t="shared" si="48"/>
        <v>003</v>
      </c>
      <c r="S255">
        <f t="shared" si="54"/>
        <v>176</v>
      </c>
      <c r="T255" s="13" t="str">
        <f>VLOOKUP(Q255,original!B:C,2,FALSE)</f>
        <v>Highly Stereoselective [2 + 4] Annulation of Phosphenes and Enones with β‑Electron-Donating Groups</v>
      </c>
      <c r="U255" s="13" t="s">
        <v>794</v>
      </c>
      <c r="V255" t="str">
        <f t="shared" si="49"/>
        <v>ol5c00711</v>
      </c>
      <c r="W255" t="str">
        <f t="shared" si="50"/>
        <v>ol5c00711_si_003.zip</v>
      </c>
      <c r="X255" t="str">
        <f t="shared" si="51"/>
        <v>https://acs.figshare.com/articles/dataset/Highly_Stereoselective_2_4_Annulation_of_Phosphenes_and_Enones_with_Electron-Donating_Groups/28643964\thttps://acs.figshare.com/articles/dataset/Highly_Stereoselective_2_4_Annulation_of_Phosphenes_and_Enones_with_Electron-Donating_Groups/28643967</v>
      </c>
      <c r="Y255" s="1" t="str">
        <f t="shared" si="55"/>
        <v>--localSource c:/temp/acs2/data --targetDir c:/temp/acs2/$DOI$ --noDownload --readOnly  --pubDOI https://doi.org/10.1021/acs.orglett.5c00711 --dataDOI "10.1021/acs.orglett.5c00711https://acs.figshare.com/articles/dataset/Highly_Stereoselective_2_4_Annulation_of_Phosphenes_and_Enones_with_Electron-Donating_Groups/28643964\thttps://acs.figshare.com/articles/dataset/Highly_Stereoselective_2_4_Annulation_of_Phosphenes_and_Enones_with_Electron-Donating_Groups/28643967"</v>
      </c>
      <c r="Z255" t="str">
        <f t="shared" si="52"/>
        <v>&lt;br&gt;&lt;a href="https://doi.org/10.1021/acs.orglett.5c00711.s003"&gt;https://doi.org/10.1021/acs.orglett.5c00711.s003&lt;/a&gt;</v>
      </c>
      <c r="AA255" t="str">
        <f t="shared" si="53"/>
        <v/>
      </c>
    </row>
    <row r="256" spans="1:27" x14ac:dyDescent="0.35">
      <c r="A256">
        <v>255</v>
      </c>
      <c r="B256" s="5" t="str">
        <f t="shared" si="42"/>
        <v>ol5c00782</v>
      </c>
      <c r="C256" s="1" t="str">
        <f t="shared" si="43"/>
        <v>ol5c00782</v>
      </c>
      <c r="D256">
        <f>IF(F256=1,"",IF(AND(D255="",S255=S256),"",S256-SUM(F$2:F255)))</f>
        <v>133</v>
      </c>
      <c r="E256" t="str">
        <f t="shared" si="44"/>
        <v>0</v>
      </c>
      <c r="F256">
        <v>0</v>
      </c>
      <c r="H256">
        <v>15</v>
      </c>
      <c r="I256">
        <v>29</v>
      </c>
      <c r="M256" t="str">
        <f t="shared" si="45"/>
        <v>/*133 ol5c00782 */"https://doi.org/10.1021/acs.orglett.5c00782.s001",//Carbonyl vs Hydroxy: Rhodium catalyzed carbonyl ylide triggered diastereoselective synthesis of 2,5-methano-1,3-benzoxazepines</v>
      </c>
      <c r="N256" t="e">
        <f t="shared" si="46"/>
        <v>#N/A</v>
      </c>
      <c r="O256" t="b">
        <f t="shared" si="47"/>
        <v>0</v>
      </c>
      <c r="P256" s="13" t="s">
        <v>788</v>
      </c>
      <c r="Q256" s="13" t="s">
        <v>789</v>
      </c>
      <c r="R256" t="str">
        <f t="shared" si="48"/>
        <v>001</v>
      </c>
      <c r="S256">
        <f t="shared" si="54"/>
        <v>177</v>
      </c>
      <c r="T256" s="13" t="str">
        <f>VLOOKUP(Q256,original!B:C,2,FALSE)</f>
        <v>Carbonyl vs Hydroxy: Rhodium catalyzed carbonyl ylide triggered diastereoselective synthesis of 2,5-methano-1,3-benzoxazepines</v>
      </c>
      <c r="U256" s="13" t="s">
        <v>791</v>
      </c>
      <c r="V256" t="str">
        <f t="shared" si="49"/>
        <v>ol5c00782</v>
      </c>
      <c r="W256" t="str">
        <f t="shared" si="50"/>
        <v>ol5c00782_si_001.zip</v>
      </c>
      <c r="X256" t="str">
        <f t="shared" si="51"/>
        <v>https://acs.figshare.com/articles/dataset/Carbonyl_vs_Hydroxy_Rhodium_catalyzed_carbonyl_ylide_triggered_diastereoselective_synthesis_of_2_5-methano-1_3-benzoxazepines/28650418</v>
      </c>
      <c r="Y256" s="1" t="str">
        <f t="shared" si="55"/>
        <v>--localSource c:/temp/acs2/data --targetDir c:/temp/acs2/$DOI$ --noDownload --readOnly  --pubDOI https://doi.org/10.1021/acs.orglett.5c00782 --dataDOI "10.1021/acs.orglett.5c00782https://acs.figshare.com/articles/dataset/Carbonyl_vs_Hydroxy_Rhodium_catalyzed_carbonyl_ylide_triggered_diastereoselective_synthesis_of_2_5-methano-1_3-benzoxazepines/28650418"</v>
      </c>
      <c r="Z256" t="str">
        <f t="shared" si="52"/>
        <v>&lt;br&gt;&lt;a href="https://doi.org/10.1021/acs.orglett.5c00782.s001"&gt;https://doi.org/10.1021/acs.orglett.5c00782.s001&lt;/a&gt;</v>
      </c>
      <c r="AA256" t="str">
        <f t="shared" si="53"/>
        <v/>
      </c>
    </row>
    <row r="257" spans="1:27" x14ac:dyDescent="0.35">
      <c r="A257">
        <v>256</v>
      </c>
      <c r="B257" s="5" t="str">
        <f t="shared" si="42"/>
        <v>ol5c00806</v>
      </c>
      <c r="C257" s="1" t="str">
        <f t="shared" si="43"/>
        <v>ol5c00806</v>
      </c>
      <c r="D257">
        <f>IF(F257=1,"",IF(AND(D256="",S256=S257),"",S257-SUM(F$2:F256)))</f>
        <v>134</v>
      </c>
      <c r="E257" t="str">
        <f t="shared" si="44"/>
        <v>0</v>
      </c>
      <c r="F257">
        <v>0</v>
      </c>
      <c r="H257">
        <v>42</v>
      </c>
      <c r="I257">
        <v>26</v>
      </c>
      <c r="M257" t="str">
        <f t="shared" si="45"/>
        <v>/*134 ol5c00806 */"https://doi.org/10.1021/acs.orglett.5c00806.s001",//Modular Approach for Photoinduced Cycloaddition Enabling the Synthesis of Diverse Bioactive Oxazoles</v>
      </c>
      <c r="N257" t="e">
        <f t="shared" si="46"/>
        <v>#N/A</v>
      </c>
      <c r="O257" t="b">
        <f t="shared" si="47"/>
        <v>0</v>
      </c>
      <c r="P257" s="13" t="s">
        <v>835</v>
      </c>
      <c r="Q257" s="13" t="s">
        <v>836</v>
      </c>
      <c r="R257" t="str">
        <f t="shared" si="48"/>
        <v>001</v>
      </c>
      <c r="S257">
        <f t="shared" si="54"/>
        <v>178</v>
      </c>
      <c r="T257" s="13" t="str">
        <f>VLOOKUP(Q257,original!B:C,2,FALSE)</f>
        <v>Modular Approach for Photoinduced Cycloaddition Enabling the Synthesis of Diverse Bioactive Oxazoles</v>
      </c>
      <c r="U257" s="13" t="s">
        <v>838</v>
      </c>
      <c r="V257" t="str">
        <f t="shared" si="49"/>
        <v>ol5c00806</v>
      </c>
      <c r="W257" t="str">
        <f t="shared" si="50"/>
        <v>ol5c00806_si_001.zip</v>
      </c>
      <c r="X257" t="str">
        <f t="shared" si="51"/>
        <v>https://acs.figshare.com/articles/dataset/Modular_Approach_for_Photoinduced_Cycloaddition_Enabling_the_Synthesis_of_Diverse_Bioactive_Oxazoles/28566322</v>
      </c>
      <c r="Y257" s="1" t="str">
        <f t="shared" si="55"/>
        <v>--localSource c:/temp/acs2/data --targetDir c:/temp/acs2/$DOI$ --noDownload --readOnly  --pubDOI https://doi.org/10.1021/acs.orglett.5c00806 --dataDOI "10.1021/acs.orglett.5c00806https://acs.figshare.com/articles/dataset/Modular_Approach_for_Photoinduced_Cycloaddition_Enabling_the_Synthesis_of_Diverse_Bioactive_Oxazoles/28566322"</v>
      </c>
      <c r="Z257" t="str">
        <f t="shared" si="52"/>
        <v>&lt;br&gt;&lt;a href="https://doi.org/10.1021/acs.orglett.5c00806.s001"&gt;https://doi.org/10.1021/acs.orglett.5c00806.s001&lt;/a&gt;</v>
      </c>
      <c r="AA257" t="str">
        <f t="shared" si="53"/>
        <v/>
      </c>
    </row>
    <row r="258" spans="1:27" x14ac:dyDescent="0.35">
      <c r="A258">
        <v>257</v>
      </c>
      <c r="B258" s="5" t="str">
        <f t="shared" ref="B258:B321" si="56">V258</f>
        <v>ol5c00841</v>
      </c>
      <c r="C258" s="1" t="str">
        <f t="shared" ref="C258:C321" si="57">IF(Y258="","",IF(OR(O258,F258=1,M258=""),"#"&amp;B258 &amp;" "&amp;G258,B258&amp;IF(G258="",""," # " &amp;G258)))</f>
        <v>#ol5c00841 mp4 only</v>
      </c>
      <c r="D258" t="str">
        <f>IF(F258=1,"",IF(AND(D257="",S257=S258),"",S258-SUM(F$2:F257)))</f>
        <v/>
      </c>
      <c r="E258" t="str">
        <f t="shared" ref="E258:E321" si="58">IF(B258=B257,"1","0")</f>
        <v>0</v>
      </c>
      <c r="F258">
        <v>1</v>
      </c>
      <c r="G258" t="s">
        <v>1129</v>
      </c>
      <c r="M258" t="str">
        <f t="shared" ref="M258:M321" si="59">IF(OR(O258,D258=""),"","/*"&amp;D258&amp;" " &amp; B258 &amp;" */"""&amp;Q258&amp;""",//"&amp;T258)</f>
        <v/>
      </c>
      <c r="N258" t="e">
        <f t="shared" ref="N258:N321" si="60">VLOOKUP(W258,AA:AB,2,FALSE)</f>
        <v>#N/A</v>
      </c>
      <c r="O258" t="b">
        <f t="shared" ref="O258:O321" si="61">NOT(ISNA(VLOOKUP(W258,AA:AA,1,FALSE)))</f>
        <v>0</v>
      </c>
      <c r="P258" s="13" t="s">
        <v>730</v>
      </c>
      <c r="Q258" s="13" t="s">
        <v>731</v>
      </c>
      <c r="R258" t="str">
        <f t="shared" ref="R258:R321" si="62">MID(Q258,LEN(Q258)-2,4)</f>
        <v>002</v>
      </c>
      <c r="S258">
        <f t="shared" si="54"/>
        <v>179</v>
      </c>
      <c r="T258" s="13" t="str">
        <f>VLOOKUP(Q258,original!B:C,2,FALSE)</f>
        <v>A Flash Conversion to Aromatic Azo Compounds Expedited by Hydrazine–Trifluoroacetate Hydrogen Bonding</v>
      </c>
      <c r="U258" s="13" t="s">
        <v>732</v>
      </c>
      <c r="V258" t="str">
        <f t="shared" ref="V258:V321" si="63">SUBSTITUTE(SUBSTITUTE(MID(U258,LEN(U258)-8,100),"c.","jo"),"t.","ol")</f>
        <v>ol5c00841</v>
      </c>
      <c r="W258" t="str">
        <f t="shared" ref="W258:W321" si="64">B258&amp;"_si_"&amp;R258&amp;".zip"</f>
        <v>ol5c00841_si_002.zip</v>
      </c>
      <c r="X258" t="str">
        <f t="shared" ref="X258:X321" si="65">IF(U258&lt;&gt;U257,P258,X257&amp;"\t"&amp;P258)</f>
        <v>https://acs.figshare.com/articles/dataset/A_Flash_Conversion_to_Aromatic_Azo_Compounds_Expedited_by_Hydrazine_Trifluoroacetate_Hydrogen_Bonding/28818305</v>
      </c>
      <c r="Y258" s="1" t="str">
        <f t="shared" si="55"/>
        <v>--localSource c:/temp/acs2/data --targetDir c:/temp/acs2/$DOI$ --noDownload --readOnly  --pubDOI https://doi.org/10.1021/acs.orglett.5c00841 --dataDOI "10.1021/acs.orglett.5c00841https://acs.figshare.com/articles/dataset/A_Flash_Conversion_to_Aromatic_Azo_Compounds_Expedited_by_Hydrazine_Trifluoroacetate_Hydrogen_Bonding/28818305"</v>
      </c>
      <c r="Z258" t="str">
        <f t="shared" ref="Z258:Z321" si="66">"&lt;br&gt;&lt;a href="""&amp;Q258&amp;"""&gt;"&amp;Q258&amp;"&lt;/a&gt;"</f>
        <v>&lt;br&gt;&lt;a href="https://doi.org/10.1021/acs.orglett.5c00841.s002"&gt;https://doi.org/10.1021/acs.orglett.5c00841.s002&lt;/a&gt;</v>
      </c>
      <c r="AA258" t="str">
        <f t="shared" ref="AA258:AA321" si="67">IF(AB258="","",MID(AB258,1,LEN(AB258)-4)&amp;".zip")</f>
        <v/>
      </c>
    </row>
    <row r="259" spans="1:27" x14ac:dyDescent="0.35">
      <c r="A259">
        <v>258</v>
      </c>
      <c r="B259" s="5" t="str">
        <f t="shared" si="56"/>
        <v>ol5c00879</v>
      </c>
      <c r="C259" s="1" t="str">
        <f t="shared" si="57"/>
        <v>ol5c00879</v>
      </c>
      <c r="D259">
        <f>IF(F259=1,"",IF(AND(D258="",S258=S259),"",S259-SUM(F$2:F258)))</f>
        <v>135</v>
      </c>
      <c r="E259" t="str">
        <f t="shared" si="58"/>
        <v>0</v>
      </c>
      <c r="F259">
        <v>0</v>
      </c>
      <c r="H259">
        <v>13</v>
      </c>
      <c r="I259">
        <v>56</v>
      </c>
      <c r="M259" t="str">
        <f t="shared" si="59"/>
        <v>/*135 ol5c00879 */"https://doi.org/10.1021/acs.orglett.5c00879.s002",//Total Synthesis of (±)-Streptoglyceride A and of Putative (±)-Streptoglyceride C</v>
      </c>
      <c r="N259" t="e">
        <f t="shared" si="60"/>
        <v>#N/A</v>
      </c>
      <c r="O259" t="b">
        <f t="shared" si="61"/>
        <v>0</v>
      </c>
      <c r="P259" s="13" t="s">
        <v>615</v>
      </c>
      <c r="Q259" s="13" t="s">
        <v>616</v>
      </c>
      <c r="R259" t="str">
        <f t="shared" si="62"/>
        <v>002</v>
      </c>
      <c r="S259">
        <f t="shared" ref="S259:S322" si="68">IF(U259=U258,S258,S258+1)</f>
        <v>180</v>
      </c>
      <c r="T259" s="13" t="str">
        <f>VLOOKUP(Q259,original!B:C,2,FALSE)</f>
        <v>Total Synthesis of (±)-Streptoglyceride A and of Putative (±)-Streptoglyceride C</v>
      </c>
      <c r="U259" s="13" t="s">
        <v>617</v>
      </c>
      <c r="V259" t="str">
        <f t="shared" si="63"/>
        <v>ol5c00879</v>
      </c>
      <c r="W259" t="str">
        <f t="shared" si="64"/>
        <v>ol5c00879_si_002.zip</v>
      </c>
      <c r="X259" t="str">
        <f t="shared" si="65"/>
        <v>https://acs.figshare.com/articles/dataset/Total_Synthesis_of_-Streptoglyceride_A_and_of_Putative_-Streptoglyceride_C/29242959</v>
      </c>
      <c r="Y259" s="1" t="str">
        <f t="shared" ref="Y259:Y322" si="69">IF(U259&lt;&gt;U260,$Y$1&amp;" --pubDOI "&amp; U259&amp;" --dataDOI """&amp;SUBSTITUTE(U259&amp;X259&amp;"""","https://doi.org/",""),"")</f>
        <v>--localSource c:/temp/acs2/data --targetDir c:/temp/acs2/$DOI$ --noDownload --readOnly  --pubDOI https://doi.org/10.1021/acs.orglett.5c00879 --dataDOI "10.1021/acs.orglett.5c00879https://acs.figshare.com/articles/dataset/Total_Synthesis_of_-Streptoglyceride_A_and_of_Putative_-Streptoglyceride_C/29242959"</v>
      </c>
      <c r="Z259" t="str">
        <f t="shared" si="66"/>
        <v>&lt;br&gt;&lt;a href="https://doi.org/10.1021/acs.orglett.5c00879.s002"&gt;https://doi.org/10.1021/acs.orglett.5c00879.s002&lt;/a&gt;</v>
      </c>
      <c r="AA259" t="str">
        <f t="shared" si="67"/>
        <v/>
      </c>
    </row>
    <row r="260" spans="1:27" x14ac:dyDescent="0.35">
      <c r="A260">
        <v>259</v>
      </c>
      <c r="B260" s="5" t="str">
        <f t="shared" si="56"/>
        <v>ol5c00933</v>
      </c>
      <c r="C260" s="1" t="str">
        <f t="shared" si="57"/>
        <v>ol5c00933</v>
      </c>
      <c r="D260">
        <f>IF(F260=1,"",IF(AND(D259="",S259=S260),"",S260-SUM(F$2:F259)))</f>
        <v>136</v>
      </c>
      <c r="E260" t="str">
        <f t="shared" si="58"/>
        <v>0</v>
      </c>
      <c r="F260">
        <v>0</v>
      </c>
      <c r="H260">
        <v>30</v>
      </c>
      <c r="I260">
        <v>64</v>
      </c>
      <c r="M260" t="str">
        <f t="shared" si="59"/>
        <v>/*136 ol5c00933 */"https://doi.org/10.1021/acs.orglett.5c00933.s001",//A Mechanistic Perspective on Photocatalytic EnT-Enabled C3-N-Heteroarylation of Aryl Quinoxaline via C(sp2)–C(sp2) Coupling</v>
      </c>
      <c r="N260" t="e">
        <f t="shared" si="60"/>
        <v>#N/A</v>
      </c>
      <c r="O260" t="b">
        <f t="shared" si="61"/>
        <v>0</v>
      </c>
      <c r="P260" s="13" t="s">
        <v>744</v>
      </c>
      <c r="Q260" s="13" t="s">
        <v>745</v>
      </c>
      <c r="R260" t="str">
        <f t="shared" si="62"/>
        <v>001</v>
      </c>
      <c r="S260">
        <f t="shared" si="68"/>
        <v>181</v>
      </c>
      <c r="T260" s="13" t="str">
        <f>VLOOKUP(Q260,original!B:C,2,FALSE)</f>
        <v>A Mechanistic Perspective on Photocatalytic EnT-Enabled C3-N-Heteroarylation of Aryl Quinoxaline via C(sp2)–C(sp2) Coupling</v>
      </c>
      <c r="U260" s="13" t="s">
        <v>746</v>
      </c>
      <c r="V260" t="str">
        <f t="shared" si="63"/>
        <v>ol5c00933</v>
      </c>
      <c r="W260" t="str">
        <f t="shared" si="64"/>
        <v>ol5c00933_si_001.zip</v>
      </c>
      <c r="X260" t="str">
        <f t="shared" si="65"/>
        <v>https://acs.figshare.com/articles/dataset/A_Mechanistic_Perspective_on_Photocatalytic_EnT-Enabled_C3-N-Heteroarylation_of_Aryl_Quinoxaline_via_C_sp_sup_2_sup_C_sp_sup_2_sup_Coupling/28778314</v>
      </c>
      <c r="Y260" s="1" t="str">
        <f t="shared" si="69"/>
        <v>--localSource c:/temp/acs2/data --targetDir c:/temp/acs2/$DOI$ --noDownload --readOnly  --pubDOI https://doi.org/10.1021/acs.orglett.5c00933 --dataDOI "10.1021/acs.orglett.5c00933https://acs.figshare.com/articles/dataset/A_Mechanistic_Perspective_on_Photocatalytic_EnT-Enabled_C3-N-Heteroarylation_of_Aryl_Quinoxaline_via_C_sp_sup_2_sup_C_sp_sup_2_sup_Coupling/28778314"</v>
      </c>
      <c r="Z260" t="str">
        <f t="shared" si="66"/>
        <v>&lt;br&gt;&lt;a href="https://doi.org/10.1021/acs.orglett.5c00933.s001"&gt;https://doi.org/10.1021/acs.orglett.5c00933.s001&lt;/a&gt;</v>
      </c>
      <c r="AA260" t="str">
        <f t="shared" si="67"/>
        <v/>
      </c>
    </row>
    <row r="261" spans="1:27" x14ac:dyDescent="0.35">
      <c r="A261">
        <v>260</v>
      </c>
      <c r="B261" s="5" t="str">
        <f t="shared" si="56"/>
        <v>ol5c00948</v>
      </c>
      <c r="C261" s="1" t="str">
        <f t="shared" si="57"/>
        <v>ol5c00948</v>
      </c>
      <c r="D261">
        <f>IF(F261=1,"",IF(AND(D260="",S260=S261),"",S261-SUM(F$2:F260)))</f>
        <v>137</v>
      </c>
      <c r="E261" t="str">
        <f t="shared" si="58"/>
        <v>0</v>
      </c>
      <c r="F261">
        <v>0</v>
      </c>
      <c r="H261">
        <v>71</v>
      </c>
      <c r="I261">
        <v>225</v>
      </c>
      <c r="M261" t="str">
        <f t="shared" si="59"/>
        <v>/*137 ol5c00948 */"https://doi.org/10.1021/acs.orglett.5c00948.s002",//Nitroalkanes as Ketone Synthetic Equivalents in C–N and C–S Bond Formation Reactions</v>
      </c>
      <c r="N261" t="e">
        <f t="shared" si="60"/>
        <v>#N/A</v>
      </c>
      <c r="O261" t="b">
        <f t="shared" si="61"/>
        <v>0</v>
      </c>
      <c r="P261" s="13" t="s">
        <v>714</v>
      </c>
      <c r="Q261" s="13" t="s">
        <v>715</v>
      </c>
      <c r="R261" t="str">
        <f t="shared" si="62"/>
        <v>002</v>
      </c>
      <c r="S261">
        <f t="shared" si="68"/>
        <v>182</v>
      </c>
      <c r="T261" s="13" t="str">
        <f>VLOOKUP(Q261,original!B:C,2,FALSE)</f>
        <v>Nitroalkanes as Ketone Synthetic Equivalents in C–N and C–S Bond Formation Reactions</v>
      </c>
      <c r="U261" s="13" t="s">
        <v>716</v>
      </c>
      <c r="V261" t="str">
        <f t="shared" si="63"/>
        <v>ol5c00948</v>
      </c>
      <c r="W261" t="str">
        <f t="shared" si="64"/>
        <v>ol5c00948_si_002.zip</v>
      </c>
      <c r="X261" t="str">
        <f t="shared" si="65"/>
        <v>https://acs.figshare.com/articles/dataset/Nitroalkanes_as_Ketone_Synthetic_Equivalents_in_C_N_and_C_S_Bond_Formation_Reactions/28861530</v>
      </c>
      <c r="Y261" s="1" t="str">
        <f t="shared" si="69"/>
        <v>--localSource c:/temp/acs2/data --targetDir c:/temp/acs2/$DOI$ --noDownload --readOnly  --pubDOI https://doi.org/10.1021/acs.orglett.5c00948 --dataDOI "10.1021/acs.orglett.5c00948https://acs.figshare.com/articles/dataset/Nitroalkanes_as_Ketone_Synthetic_Equivalents_in_C_N_and_C_S_Bond_Formation_Reactions/28861530"</v>
      </c>
      <c r="Z261" t="str">
        <f t="shared" si="66"/>
        <v>&lt;br&gt;&lt;a href="https://doi.org/10.1021/acs.orglett.5c00948.s002"&gt;https://doi.org/10.1021/acs.orglett.5c00948.s002&lt;/a&gt;</v>
      </c>
      <c r="AA261" t="str">
        <f t="shared" si="67"/>
        <v/>
      </c>
    </row>
    <row r="262" spans="1:27" x14ac:dyDescent="0.35">
      <c r="A262">
        <v>261</v>
      </c>
      <c r="B262" s="5" t="str">
        <f t="shared" si="56"/>
        <v>ol5c00976</v>
      </c>
      <c r="C262" s="1" t="str">
        <f t="shared" si="57"/>
        <v>ol5c00976</v>
      </c>
      <c r="D262">
        <f>IF(F262=1,"",IF(AND(D261="",S261=S262),"",S262-SUM(F$2:F261)))</f>
        <v>138</v>
      </c>
      <c r="E262" t="str">
        <f t="shared" si="58"/>
        <v>0</v>
      </c>
      <c r="F262">
        <v>0</v>
      </c>
      <c r="H262">
        <v>24</v>
      </c>
      <c r="I262">
        <v>51</v>
      </c>
      <c r="M262" t="str">
        <f t="shared" si="59"/>
        <v>/*138 ol5c00976 */"https://doi.org/10.1021/acs.orglett.5c00976.s002",//CAN-Mediated Synthesis of 2‑Deoxy Sugars: Access to Chiral 2‑Deoxy 3‑Bisindolyl‑C‑glycosides</v>
      </c>
      <c r="N262" t="e">
        <f t="shared" si="60"/>
        <v>#N/A</v>
      </c>
      <c r="O262" t="b">
        <f t="shared" si="61"/>
        <v>0</v>
      </c>
      <c r="P262" s="13" t="s">
        <v>747</v>
      </c>
      <c r="Q262" s="13" t="s">
        <v>748</v>
      </c>
      <c r="R262" t="str">
        <f t="shared" si="62"/>
        <v>002</v>
      </c>
      <c r="S262">
        <f t="shared" si="68"/>
        <v>183</v>
      </c>
      <c r="T262" s="13" t="str">
        <f>VLOOKUP(Q262,original!B:C,2,FALSE)</f>
        <v>CAN-Mediated Synthesis of 2‑Deoxy Sugars: Access to Chiral 2‑Deoxy 3‑Bisindolyl‑C‑glycosides</v>
      </c>
      <c r="U262" s="13" t="s">
        <v>749</v>
      </c>
      <c r="V262" t="str">
        <f t="shared" si="63"/>
        <v>ol5c00976</v>
      </c>
      <c r="W262" t="str">
        <f t="shared" si="64"/>
        <v>ol5c00976_si_002.zip</v>
      </c>
      <c r="X262" t="str">
        <f t="shared" si="65"/>
        <v>https://acs.figshare.com/articles/dataset/CAN-Mediated_Synthesis_of_2_Deoxy_Sugars_Access_to_Chiral_2_Deoxy_3_Bisindolyl_i_C_i_glycosides/28756970</v>
      </c>
      <c r="Y262" s="1" t="str">
        <f t="shared" si="69"/>
        <v>--localSource c:/temp/acs2/data --targetDir c:/temp/acs2/$DOI$ --noDownload --readOnly  --pubDOI https://doi.org/10.1021/acs.orglett.5c00976 --dataDOI "10.1021/acs.orglett.5c00976https://acs.figshare.com/articles/dataset/CAN-Mediated_Synthesis_of_2_Deoxy_Sugars_Access_to_Chiral_2_Deoxy_3_Bisindolyl_i_C_i_glycosides/28756970"</v>
      </c>
      <c r="Z262" t="str">
        <f t="shared" si="66"/>
        <v>&lt;br&gt;&lt;a href="https://doi.org/10.1021/acs.orglett.5c00976.s002"&gt;https://doi.org/10.1021/acs.orglett.5c00976.s002&lt;/a&gt;</v>
      </c>
      <c r="AA262" t="str">
        <f t="shared" si="67"/>
        <v/>
      </c>
    </row>
    <row r="263" spans="1:27" x14ac:dyDescent="0.35">
      <c r="A263">
        <v>262</v>
      </c>
      <c r="B263" s="5" t="str">
        <f t="shared" si="56"/>
        <v>ol5c00995</v>
      </c>
      <c r="C263" s="1" t="str">
        <f t="shared" si="57"/>
        <v>ol5c00995</v>
      </c>
      <c r="D263">
        <f>IF(F263=1,"",IF(AND(D262="",S262=S263),"",S263-SUM(F$2:F262)))</f>
        <v>139</v>
      </c>
      <c r="E263" t="str">
        <f t="shared" si="58"/>
        <v>0</v>
      </c>
      <c r="F263">
        <v>0</v>
      </c>
      <c r="H263">
        <v>40</v>
      </c>
      <c r="I263">
        <v>119</v>
      </c>
      <c r="M263" t="str">
        <f t="shared" si="59"/>
        <v>/*139 ol5c00995 */"https://doi.org/10.1021/acs.orglett.5c00995.s002",//Unlocking the Potential of CF3-Alkynes in Gold-Catalyzed Oxygen Transfer: A Direct Route to Trifluoromethylated Compounds</v>
      </c>
      <c r="N263" t="e">
        <f t="shared" si="60"/>
        <v>#N/A</v>
      </c>
      <c r="O263" t="b">
        <f t="shared" si="61"/>
        <v>0</v>
      </c>
      <c r="P263" s="13" t="s">
        <v>780</v>
      </c>
      <c r="Q263" s="13" t="s">
        <v>781</v>
      </c>
      <c r="R263" t="str">
        <f t="shared" si="62"/>
        <v>002</v>
      </c>
      <c r="S263">
        <f t="shared" si="68"/>
        <v>184</v>
      </c>
      <c r="T263" s="13" t="str">
        <f>VLOOKUP(Q263,original!B:C,2,FALSE)</f>
        <v>Unlocking the Potential of CF3-Alkynes in Gold-Catalyzed Oxygen Transfer: A Direct Route to Trifluoromethylated Compounds</v>
      </c>
      <c r="U263" s="13" t="s">
        <v>783</v>
      </c>
      <c r="V263" t="str">
        <f t="shared" si="63"/>
        <v>ol5c00995</v>
      </c>
      <c r="W263" t="str">
        <f t="shared" si="64"/>
        <v>ol5c00995_si_002.zip</v>
      </c>
      <c r="X263" t="str">
        <f t="shared" si="65"/>
        <v>https://acs.figshare.com/articles/dataset/Unlocking_the_Potential_of_CF_sub_3_sub_-Alkynes_in_Gold-Catalyzed_Oxygen_Transfer_A_Direct_Route_to_Trifluoromethylated_Compounds/28652852</v>
      </c>
      <c r="Y263" s="1" t="str">
        <f t="shared" si="69"/>
        <v>--localSource c:/temp/acs2/data --targetDir c:/temp/acs2/$DOI$ --noDownload --readOnly  --pubDOI https://doi.org/10.1021/acs.orglett.5c00995 --dataDOI "10.1021/acs.orglett.5c00995https://acs.figshare.com/articles/dataset/Unlocking_the_Potential_of_CF_sub_3_sub_-Alkynes_in_Gold-Catalyzed_Oxygen_Transfer_A_Direct_Route_to_Trifluoromethylated_Compounds/28652852"</v>
      </c>
      <c r="Z263" t="str">
        <f t="shared" si="66"/>
        <v>&lt;br&gt;&lt;a href="https://doi.org/10.1021/acs.orglett.5c00995.s002"&gt;https://doi.org/10.1021/acs.orglett.5c00995.s002&lt;/a&gt;</v>
      </c>
      <c r="AA263" t="str">
        <f t="shared" si="67"/>
        <v/>
      </c>
    </row>
    <row r="264" spans="1:27" x14ac:dyDescent="0.35">
      <c r="A264">
        <v>263</v>
      </c>
      <c r="B264" s="5" t="str">
        <f t="shared" si="56"/>
        <v>ol5c01081</v>
      </c>
      <c r="C264" s="1" t="str">
        <f t="shared" si="57"/>
        <v/>
      </c>
      <c r="D264">
        <f>IF(F264=1,"",IF(AND(D263="",S263=S264),"",S264-SUM(F$2:F263)))</f>
        <v>140</v>
      </c>
      <c r="E264" t="str">
        <f t="shared" si="58"/>
        <v>0</v>
      </c>
      <c r="F264">
        <v>0</v>
      </c>
      <c r="M264" t="str">
        <f t="shared" si="59"/>
        <v>/*140 ol5c01081 */"https://doi.org/10.1021/acs.orglett.5c01081.s002",//Ce(OTf)&lt;sub&gt;3&lt;/sub&gt;‑Catalyzed Asymmetric 6π Cyclization of Triaryldivinyl Ketones</v>
      </c>
      <c r="N264" t="e">
        <f t="shared" si="60"/>
        <v>#N/A</v>
      </c>
      <c r="O264" t="b">
        <f t="shared" si="61"/>
        <v>0</v>
      </c>
      <c r="P264" s="13" t="s">
        <v>706</v>
      </c>
      <c r="Q264" s="13" t="s">
        <v>707</v>
      </c>
      <c r="R264" t="str">
        <f t="shared" si="62"/>
        <v>002</v>
      </c>
      <c r="S264">
        <f t="shared" si="68"/>
        <v>185</v>
      </c>
      <c r="T264" s="13" t="str">
        <f>VLOOKUP(Q264,original!B:C,2,FALSE)</f>
        <v>Ce(OTf)&lt;sub&gt;3&lt;/sub&gt;‑Catalyzed Asymmetric 6π Cyclization of Triaryldivinyl Ketones</v>
      </c>
      <c r="U264" s="13" t="s">
        <v>705</v>
      </c>
      <c r="V264" t="str">
        <f t="shared" si="63"/>
        <v>ol5c01081</v>
      </c>
      <c r="W264" t="str">
        <f t="shared" si="64"/>
        <v>ol5c01081_si_002.zip</v>
      </c>
      <c r="X264" t="str">
        <f t="shared" si="65"/>
        <v>https://acs.figshare.com/articles/dataset/Ce_OTf_sub_3_sub_Catalyzed_Asymmetric_6_Cyclization_of_Triaryldivinyl_Ketones/28914372</v>
      </c>
      <c r="Y264" s="1" t="str">
        <f t="shared" si="69"/>
        <v/>
      </c>
      <c r="Z264" t="str">
        <f t="shared" si="66"/>
        <v>&lt;br&gt;&lt;a href="https://doi.org/10.1021/acs.orglett.5c01081.s002"&gt;https://doi.org/10.1021/acs.orglett.5c01081.s002&lt;/a&gt;</v>
      </c>
      <c r="AA264" t="str">
        <f t="shared" si="67"/>
        <v/>
      </c>
    </row>
    <row r="265" spans="1:27" x14ac:dyDescent="0.35">
      <c r="A265">
        <v>264</v>
      </c>
      <c r="B265" s="5" t="str">
        <f t="shared" si="56"/>
        <v>ol5c01081</v>
      </c>
      <c r="C265" s="1" t="str">
        <f t="shared" si="57"/>
        <v>ol5c01081</v>
      </c>
      <c r="D265">
        <f>IF(F265=1,"",IF(AND(D264="",S264=S265),"",S265-SUM(F$2:F264)))</f>
        <v>140</v>
      </c>
      <c r="E265" t="str">
        <f t="shared" si="58"/>
        <v>1</v>
      </c>
      <c r="F265">
        <v>0</v>
      </c>
      <c r="H265">
        <v>52</v>
      </c>
      <c r="I265">
        <v>108</v>
      </c>
      <c r="J265">
        <v>52</v>
      </c>
      <c r="M265" t="str">
        <f t="shared" si="59"/>
        <v>/*140 ol5c01081 */"https://doi.org/10.1021/acs.orglett.5c01081.s003",//Ce(OTf)3‑Catalyzed Asymmetric 6π Cyclization of Triaryldivinyl Ketones</v>
      </c>
      <c r="N265" t="e">
        <f t="shared" si="60"/>
        <v>#N/A</v>
      </c>
      <c r="O265" t="b">
        <f t="shared" si="61"/>
        <v>0</v>
      </c>
      <c r="P265" s="13" t="s">
        <v>703</v>
      </c>
      <c r="Q265" s="13" t="s">
        <v>704</v>
      </c>
      <c r="R265" t="str">
        <f t="shared" si="62"/>
        <v>003</v>
      </c>
      <c r="S265">
        <f t="shared" si="68"/>
        <v>185</v>
      </c>
      <c r="T265" s="13" t="str">
        <f>VLOOKUP(Q265,original!B:C,2,FALSE)</f>
        <v>Ce(OTf)3‑Catalyzed Asymmetric 6π Cyclization of Triaryldivinyl Ketones</v>
      </c>
      <c r="U265" s="13" t="s">
        <v>705</v>
      </c>
      <c r="V265" t="str">
        <f t="shared" si="63"/>
        <v>ol5c01081</v>
      </c>
      <c r="W265" t="str">
        <f t="shared" si="64"/>
        <v>ol5c01081_si_003.zip</v>
      </c>
      <c r="X265" t="str">
        <f t="shared" si="65"/>
        <v>https://acs.figshare.com/articles/dataset/Ce_OTf_sub_3_sub_Catalyzed_Asymmetric_6_Cyclization_of_Triaryldivinyl_Ketones/28914372\thttps://acs.figshare.com/articles/dataset/Ce_OTf_sub_3_sub_Catalyzed_Asymmetric_6_Cyclization_of_Triaryldivinyl_Ketones/28914375</v>
      </c>
      <c r="Y265" s="1" t="str">
        <f t="shared" si="69"/>
        <v>--localSource c:/temp/acs2/data --targetDir c:/temp/acs2/$DOI$ --noDownload --readOnly  --pubDOI https://doi.org/10.1021/acs.orglett.5c01081 --dataDOI "10.1021/acs.orglett.5c01081https://acs.figshare.com/articles/dataset/Ce_OTf_sub_3_sub_Catalyzed_Asymmetric_6_Cyclization_of_Triaryldivinyl_Ketones/28914372\thttps://acs.figshare.com/articles/dataset/Ce_OTf_sub_3_sub_Catalyzed_Asymmetric_6_Cyclization_of_Triaryldivinyl_Ketones/28914375"</v>
      </c>
      <c r="Z265" t="str">
        <f t="shared" si="66"/>
        <v>&lt;br&gt;&lt;a href="https://doi.org/10.1021/acs.orglett.5c01081.s003"&gt;https://doi.org/10.1021/acs.orglett.5c01081.s003&lt;/a&gt;</v>
      </c>
      <c r="AA265" t="str">
        <f t="shared" si="67"/>
        <v/>
      </c>
    </row>
    <row r="266" spans="1:27" x14ac:dyDescent="0.35">
      <c r="A266">
        <v>265</v>
      </c>
      <c r="B266" s="5" t="str">
        <f t="shared" si="56"/>
        <v>ol5c01172</v>
      </c>
      <c r="C266" s="1" t="str">
        <f t="shared" si="57"/>
        <v>ol5c01172</v>
      </c>
      <c r="D266">
        <f>IF(F266=1,"",IF(AND(D265="",S265=S266),"",S266-SUM(F$2:F265)))</f>
        <v>141</v>
      </c>
      <c r="E266" t="str">
        <f t="shared" si="58"/>
        <v>0</v>
      </c>
      <c r="F266">
        <v>0</v>
      </c>
      <c r="H266">
        <v>17</v>
      </c>
      <c r="I266">
        <v>34</v>
      </c>
      <c r="M266" t="str">
        <f t="shared" si="59"/>
        <v>/*141 ol5c01172 */"https://doi.org/10.1021/acs.orglett.5c01172.s002",//Synthesis of Parent Peropyrene and Its Derivatization</v>
      </c>
      <c r="N266" t="e">
        <f t="shared" si="60"/>
        <v>#N/A</v>
      </c>
      <c r="O266" t="b">
        <f t="shared" si="61"/>
        <v>0</v>
      </c>
      <c r="P266" s="13" t="s">
        <v>622</v>
      </c>
      <c r="Q266" s="13" t="s">
        <v>623</v>
      </c>
      <c r="R266" t="str">
        <f t="shared" si="62"/>
        <v>002</v>
      </c>
      <c r="S266">
        <f t="shared" si="68"/>
        <v>186</v>
      </c>
      <c r="T266" s="13" t="str">
        <f>VLOOKUP(Q266,original!B:C,2,FALSE)</f>
        <v>Synthesis of Parent Peropyrene and Its Derivatization</v>
      </c>
      <c r="U266" s="13" t="s">
        <v>625</v>
      </c>
      <c r="V266" t="str">
        <f t="shared" si="63"/>
        <v>ol5c01172</v>
      </c>
      <c r="W266" t="str">
        <f t="shared" si="64"/>
        <v>ol5c01172_si_002.zip</v>
      </c>
      <c r="X266" t="str">
        <f t="shared" si="65"/>
        <v>https://acs.figshare.com/articles/dataset/Synthesis_of_Parent_Peropyrene_and_Its_Derivatization/29216766</v>
      </c>
      <c r="Y266" s="1" t="str">
        <f t="shared" si="69"/>
        <v>--localSource c:/temp/acs2/data --targetDir c:/temp/acs2/$DOI$ --noDownload --readOnly  --pubDOI https://doi.org/10.1021/acs.orglett.5c01172 --dataDOI "10.1021/acs.orglett.5c01172https://acs.figshare.com/articles/dataset/Synthesis_of_Parent_Peropyrene_and_Its_Derivatization/29216766"</v>
      </c>
      <c r="Z266" t="str">
        <f t="shared" si="66"/>
        <v>&lt;br&gt;&lt;a href="https://doi.org/10.1021/acs.orglett.5c01172.s002"&gt;https://doi.org/10.1021/acs.orglett.5c01172.s002&lt;/a&gt;</v>
      </c>
      <c r="AA266" t="str">
        <f t="shared" si="67"/>
        <v/>
      </c>
    </row>
    <row r="267" spans="1:27" x14ac:dyDescent="0.35">
      <c r="A267">
        <v>266</v>
      </c>
      <c r="B267" s="5" t="str">
        <f t="shared" si="56"/>
        <v>ol5c01196</v>
      </c>
      <c r="C267" s="1" t="str">
        <f t="shared" si="57"/>
        <v>ol5c01196</v>
      </c>
      <c r="D267">
        <f>IF(F267=1,"",IF(AND(D266="",S266=S267),"",S267-SUM(F$2:F266)))</f>
        <v>142</v>
      </c>
      <c r="E267" t="str">
        <f t="shared" si="58"/>
        <v>0</v>
      </c>
      <c r="F267">
        <v>0</v>
      </c>
      <c r="H267">
        <v>37</v>
      </c>
      <c r="I267">
        <v>40</v>
      </c>
      <c r="M267" t="str">
        <f t="shared" si="59"/>
        <v>/*142 ol5c01196 */"https://doi.org/10.1021/acs.orglett.5c01196.s002",//Reaction Profile Forecasting by Artificial Data Generation for Wittig-Type Geminal Bromofluoroolefination</v>
      </c>
      <c r="N267" t="e">
        <f t="shared" si="60"/>
        <v>#N/A</v>
      </c>
      <c r="O267" t="b">
        <f t="shared" si="61"/>
        <v>0</v>
      </c>
      <c r="P267" s="13" t="s">
        <v>618</v>
      </c>
      <c r="Q267" s="13" t="s">
        <v>619</v>
      </c>
      <c r="R267" t="str">
        <f t="shared" si="62"/>
        <v>002</v>
      </c>
      <c r="S267">
        <f t="shared" si="68"/>
        <v>187</v>
      </c>
      <c r="T267" s="13" t="str">
        <f>VLOOKUP(Q267,original!B:C,2,FALSE)</f>
        <v>Reaction Profile Forecasting by Artificial Data Generation for Wittig-Type Geminal Bromofluoroolefination</v>
      </c>
      <c r="U267" s="13" t="s">
        <v>621</v>
      </c>
      <c r="V267" t="str">
        <f t="shared" si="63"/>
        <v>ol5c01196</v>
      </c>
      <c r="W267" t="str">
        <f t="shared" si="64"/>
        <v>ol5c01196_si_002.zip</v>
      </c>
      <c r="X267" t="str">
        <f t="shared" si="65"/>
        <v>https://acs.figshare.com/articles/dataset/Reaction_Profile_Forecasting_by_Artificial_Data_Generation_for_Wittig-Type_Geminal_Bromofluoroolefination/29232576</v>
      </c>
      <c r="Y267" s="1" t="str">
        <f t="shared" si="69"/>
        <v>--localSource c:/temp/acs2/data --targetDir c:/temp/acs2/$DOI$ --noDownload --readOnly  --pubDOI https://doi.org/10.1021/acs.orglett.5c01196 --dataDOI "10.1021/acs.orglett.5c01196https://acs.figshare.com/articles/dataset/Reaction_Profile_Forecasting_by_Artificial_Data_Generation_for_Wittig-Type_Geminal_Bromofluoroolefination/29232576"</v>
      </c>
      <c r="Z267" t="str">
        <f t="shared" si="66"/>
        <v>&lt;br&gt;&lt;a href="https://doi.org/10.1021/acs.orglett.5c01196.s002"&gt;https://doi.org/10.1021/acs.orglett.5c01196.s002&lt;/a&gt;</v>
      </c>
      <c r="AA267" t="str">
        <f t="shared" si="67"/>
        <v/>
      </c>
    </row>
    <row r="268" spans="1:27" x14ac:dyDescent="0.35">
      <c r="A268">
        <v>267</v>
      </c>
      <c r="B268" s="5" t="str">
        <f t="shared" si="56"/>
        <v>ol5c01237</v>
      </c>
      <c r="C268" s="1" t="str">
        <f t="shared" si="57"/>
        <v>ol5c01237 # Invalid JEOL file</v>
      </c>
      <c r="D268">
        <f>IF(F268=1,"",IF(AND(D267="",S267=S268),"",S268-SUM(F$2:F267)))</f>
        <v>143</v>
      </c>
      <c r="E268" t="str">
        <f t="shared" si="58"/>
        <v>0</v>
      </c>
      <c r="F268">
        <v>0</v>
      </c>
      <c r="G268" s="7" t="s">
        <v>2303</v>
      </c>
      <c r="H268" s="7">
        <v>32</v>
      </c>
      <c r="I268" s="7">
        <v>217</v>
      </c>
      <c r="J268" s="7"/>
      <c r="K268" s="7"/>
      <c r="M268" t="str">
        <f t="shared" si="59"/>
        <v>/*143 ol5c01237 */"https://doi.org/10.1021/acs.orglett.5c01237.s002",//Electrochemical Functionalization of Alkenes with 1,3-Dicarbonyl Compounds via Radical Addition</v>
      </c>
      <c r="N268" t="e">
        <f t="shared" si="60"/>
        <v>#N/A</v>
      </c>
      <c r="O268" t="b">
        <f t="shared" si="61"/>
        <v>0</v>
      </c>
      <c r="P268" s="13" t="s">
        <v>559</v>
      </c>
      <c r="Q268" s="13" t="s">
        <v>560</v>
      </c>
      <c r="R268" t="str">
        <f t="shared" si="62"/>
        <v>002</v>
      </c>
      <c r="S268">
        <f t="shared" si="68"/>
        <v>188</v>
      </c>
      <c r="T268" s="13" t="str">
        <f>VLOOKUP(Q268,original!B:C,2,FALSE)</f>
        <v>Electrochemical Functionalization of Alkenes with 1,3-Dicarbonyl Compounds via Radical Addition</v>
      </c>
      <c r="U268" s="13" t="s">
        <v>562</v>
      </c>
      <c r="V268" t="str">
        <f t="shared" si="63"/>
        <v>ol5c01237</v>
      </c>
      <c r="W268" t="str">
        <f t="shared" si="64"/>
        <v>ol5c01237_si_002.zip</v>
      </c>
      <c r="X268" t="str">
        <f t="shared" si="65"/>
        <v>https://acs.figshare.com/articles/dataset/Electrochemical_Functionalization_of_Alkenes_with_1_3-Dicarbonyl_Compounds_via_Radical_Addition/29374730</v>
      </c>
      <c r="Y268" s="1" t="str">
        <f t="shared" si="69"/>
        <v>--localSource c:/temp/acs2/data --targetDir c:/temp/acs2/$DOI$ --noDownload --readOnly  --pubDOI https://doi.org/10.1021/acs.orglett.5c01237 --dataDOI "10.1021/acs.orglett.5c01237https://acs.figshare.com/articles/dataset/Electrochemical_Functionalization_of_Alkenes_with_1_3-Dicarbonyl_Compounds_via_Radical_Addition/29374730"</v>
      </c>
      <c r="Z268" t="str">
        <f t="shared" si="66"/>
        <v>&lt;br&gt;&lt;a href="https://doi.org/10.1021/acs.orglett.5c01237.s002"&gt;https://doi.org/10.1021/acs.orglett.5c01237.s002&lt;/a&gt;</v>
      </c>
      <c r="AA268" t="str">
        <f t="shared" si="67"/>
        <v/>
      </c>
    </row>
    <row r="269" spans="1:27" x14ac:dyDescent="0.35">
      <c r="A269">
        <v>268</v>
      </c>
      <c r="B269" s="5" t="str">
        <f t="shared" si="56"/>
        <v>ol5c01266</v>
      </c>
      <c r="C269" s="1" t="str">
        <f t="shared" si="57"/>
        <v>#ol5c01266 xyz only</v>
      </c>
      <c r="D269" t="str">
        <f>IF(F269=1,"",IF(AND(D268="",S268=S269),"",S269-SUM(F$2:F268)))</f>
        <v/>
      </c>
      <c r="E269" t="str">
        <f t="shared" si="58"/>
        <v>0</v>
      </c>
      <c r="F269">
        <v>1</v>
      </c>
      <c r="G269" t="s">
        <v>2253</v>
      </c>
      <c r="H269">
        <v>0</v>
      </c>
      <c r="I269">
        <v>0</v>
      </c>
      <c r="M269" t="str">
        <f t="shared" si="59"/>
        <v/>
      </c>
      <c r="N269" t="e">
        <f t="shared" si="60"/>
        <v>#N/A</v>
      </c>
      <c r="O269" t="b">
        <f t="shared" si="61"/>
        <v>0</v>
      </c>
      <c r="P269" s="13" t="s">
        <v>708</v>
      </c>
      <c r="Q269" s="13" t="s">
        <v>709</v>
      </c>
      <c r="R269" t="str">
        <f t="shared" si="62"/>
        <v>002</v>
      </c>
      <c r="S269">
        <f t="shared" si="68"/>
        <v>189</v>
      </c>
      <c r="T269" s="13" t="str">
        <f>VLOOKUP(Q269,original!B:C,2,FALSE)</f>
        <v>Quinol–Enedione Rearrangement</v>
      </c>
      <c r="U269" s="13" t="s">
        <v>710</v>
      </c>
      <c r="V269" t="str">
        <f t="shared" si="63"/>
        <v>ol5c01266</v>
      </c>
      <c r="W269" t="str">
        <f t="shared" si="64"/>
        <v>ol5c01266_si_002.zip</v>
      </c>
      <c r="X269" t="str">
        <f t="shared" si="65"/>
        <v>https://acs.figshare.com/articles/dataset/Quinol_Enedione_Rearrangement/28903551</v>
      </c>
      <c r="Y269" s="1" t="str">
        <f t="shared" si="69"/>
        <v>--localSource c:/temp/acs2/data --targetDir c:/temp/acs2/$DOI$ --noDownload --readOnly  --pubDOI https://doi.org/10.1021/acs.orglett.5c01266 --dataDOI "10.1021/acs.orglett.5c01266https://acs.figshare.com/articles/dataset/Quinol_Enedione_Rearrangement/28903551"</v>
      </c>
      <c r="Z269" t="str">
        <f t="shared" si="66"/>
        <v>&lt;br&gt;&lt;a href="https://doi.org/10.1021/acs.orglett.5c01266.s002"&gt;https://doi.org/10.1021/acs.orglett.5c01266.s002&lt;/a&gt;</v>
      </c>
      <c r="AA269" t="str">
        <f t="shared" si="67"/>
        <v/>
      </c>
    </row>
    <row r="270" spans="1:27" x14ac:dyDescent="0.35">
      <c r="A270">
        <v>269</v>
      </c>
      <c r="B270" s="5" t="str">
        <f t="shared" si="56"/>
        <v>ol5c01472</v>
      </c>
      <c r="C270" s="1" t="str">
        <f t="shared" si="57"/>
        <v>ol5c01472</v>
      </c>
      <c r="D270">
        <f>IF(F270=1,"",IF(AND(D269="",S269=S270),"",S270-SUM(F$2:F269)))</f>
        <v>144</v>
      </c>
      <c r="E270" t="str">
        <f t="shared" si="58"/>
        <v>0</v>
      </c>
      <c r="F270">
        <v>0</v>
      </c>
      <c r="H270">
        <v>47</v>
      </c>
      <c r="I270">
        <v>101</v>
      </c>
      <c r="M270" t="str">
        <f t="shared" si="59"/>
        <v>/*144 ol5c01472 */"https://doi.org/10.1021/acs.orglett.5c01472.s002",//Synthesis of 8H‑Indolo[3,2,1-de]phenanthridin-8-ones via Pd(OAc)2‑Catalyzed Double Oxidative Coupling Dehydrogenations</v>
      </c>
      <c r="N270" t="e">
        <f t="shared" si="60"/>
        <v>#N/A</v>
      </c>
      <c r="O270" t="b">
        <f t="shared" si="61"/>
        <v>0</v>
      </c>
      <c r="P270" s="13" t="s">
        <v>583</v>
      </c>
      <c r="Q270" s="13" t="s">
        <v>584</v>
      </c>
      <c r="R270" t="str">
        <f t="shared" si="62"/>
        <v>002</v>
      </c>
      <c r="S270">
        <f t="shared" si="68"/>
        <v>190</v>
      </c>
      <c r="T270" s="13" t="str">
        <f>VLOOKUP(Q270,original!B:C,2,FALSE)</f>
        <v>Synthesis of 8H‑Indolo[3,2,1-de]phenanthridin-8-ones via Pd(OAc)2‑Catalyzed Double Oxidative Coupling Dehydrogenations</v>
      </c>
      <c r="U270" s="13" t="s">
        <v>585</v>
      </c>
      <c r="V270" t="str">
        <f t="shared" si="63"/>
        <v>ol5c01472</v>
      </c>
      <c r="W270" t="str">
        <f t="shared" si="64"/>
        <v>ol5c01472_si_002.zip</v>
      </c>
      <c r="X270" t="str">
        <f t="shared" si="65"/>
        <v>https://acs.figshare.com/articles/dataset/Synthesis_of_8_i_H_i_Indolo_3_2_1-_i_de_i_phenanthridin-8-ones_via_Pd_OAc_sub_2_sub_Catalyzed_Double_Oxidative_Coupling_Dehydrogenations/29298908</v>
      </c>
      <c r="Y270" s="1" t="str">
        <f t="shared" si="69"/>
        <v>--localSource c:/temp/acs2/data --targetDir c:/temp/acs2/$DOI$ --noDownload --readOnly  --pubDOI https://doi.org/10.1021/acs.orglett.5c01472 --dataDOI "10.1021/acs.orglett.5c01472https://acs.figshare.com/articles/dataset/Synthesis_of_8_i_H_i_Indolo_3_2_1-_i_de_i_phenanthridin-8-ones_via_Pd_OAc_sub_2_sub_Catalyzed_Double_Oxidative_Coupling_Dehydrogenations/29298908"</v>
      </c>
      <c r="Z270" t="str">
        <f t="shared" si="66"/>
        <v>&lt;br&gt;&lt;a href="https://doi.org/10.1021/acs.orglett.5c01472.s002"&gt;https://doi.org/10.1021/acs.orglett.5c01472.s002&lt;/a&gt;</v>
      </c>
      <c r="AA270" t="str">
        <f t="shared" si="67"/>
        <v/>
      </c>
    </row>
    <row r="271" spans="1:27" x14ac:dyDescent="0.35">
      <c r="A271">
        <v>270</v>
      </c>
      <c r="B271" s="5" t="str">
        <f t="shared" si="56"/>
        <v>ol5c01509</v>
      </c>
      <c r="C271" s="1" t="str">
        <f t="shared" si="57"/>
        <v>ol5c01509</v>
      </c>
      <c r="D271">
        <f>IF(F271=1,"",IF(AND(D270="",S270=S271),"",S271-SUM(F$2:F270)))</f>
        <v>145</v>
      </c>
      <c r="E271" t="str">
        <f t="shared" si="58"/>
        <v>0</v>
      </c>
      <c r="F271">
        <v>0</v>
      </c>
      <c r="H271">
        <v>19</v>
      </c>
      <c r="I271">
        <v>36</v>
      </c>
      <c r="M271" t="str">
        <f t="shared" si="59"/>
        <v>/*145 ol5c01509 */"https://doi.org/10.1021/acs.orglett.5c01509.s002",//Bioinspired Stereoselective Total Synthesis of the Caged Sesquiterpenoid Daphnepapytone A</v>
      </c>
      <c r="N271" t="e">
        <f t="shared" si="60"/>
        <v>#N/A</v>
      </c>
      <c r="O271" t="b">
        <f t="shared" si="61"/>
        <v>0</v>
      </c>
      <c r="P271" s="13" t="s">
        <v>682</v>
      </c>
      <c r="Q271" s="13" t="s">
        <v>683</v>
      </c>
      <c r="R271" t="str">
        <f t="shared" si="62"/>
        <v>002</v>
      </c>
      <c r="S271">
        <f t="shared" si="68"/>
        <v>191</v>
      </c>
      <c r="T271" s="13" t="str">
        <f>VLOOKUP(Q271,original!B:C,2,FALSE)</f>
        <v>Bioinspired Stereoselective Total Synthesis of the Caged Sesquiterpenoid Daphnepapytone A</v>
      </c>
      <c r="U271" s="13" t="s">
        <v>685</v>
      </c>
      <c r="V271" t="str">
        <f t="shared" si="63"/>
        <v>ol5c01509</v>
      </c>
      <c r="W271" t="str">
        <f t="shared" si="64"/>
        <v>ol5c01509_si_002.zip</v>
      </c>
      <c r="X271" t="str">
        <f t="shared" si="65"/>
        <v>https://acs.figshare.com/articles/dataset/Bioinspired_Stereoselective_Total_Synthesis_of_the_Caged_Sesquiterpenoid_Daphnepapytone_A/29072615</v>
      </c>
      <c r="Y271" s="1" t="str">
        <f t="shared" si="69"/>
        <v>--localSource c:/temp/acs2/data --targetDir c:/temp/acs2/$DOI$ --noDownload --readOnly  --pubDOI https://doi.org/10.1021/acs.orglett.5c01509 --dataDOI "10.1021/acs.orglett.5c01509https://acs.figshare.com/articles/dataset/Bioinspired_Stereoselective_Total_Synthesis_of_the_Caged_Sesquiterpenoid_Daphnepapytone_A/29072615"</v>
      </c>
      <c r="Z271" t="str">
        <f t="shared" si="66"/>
        <v>&lt;br&gt;&lt;a href="https://doi.org/10.1021/acs.orglett.5c01509.s002"&gt;https://doi.org/10.1021/acs.orglett.5c01509.s002&lt;/a&gt;</v>
      </c>
      <c r="AA271" t="str">
        <f t="shared" si="67"/>
        <v/>
      </c>
    </row>
    <row r="272" spans="1:27" x14ac:dyDescent="0.35">
      <c r="A272">
        <v>271</v>
      </c>
      <c r="B272" s="5" t="str">
        <f t="shared" si="56"/>
        <v>ol5c01514</v>
      </c>
      <c r="C272" s="1" t="str">
        <f t="shared" si="57"/>
        <v>#ol5c01514 xls</v>
      </c>
      <c r="D272" t="str">
        <f>IF(F272=1,"",IF(AND(D271="",S271=S272),"",S272-SUM(F$2:F271)))</f>
        <v/>
      </c>
      <c r="E272" t="str">
        <f t="shared" si="58"/>
        <v>0</v>
      </c>
      <c r="F272">
        <v>1</v>
      </c>
      <c r="G272" t="s">
        <v>1096</v>
      </c>
      <c r="M272" t="str">
        <f t="shared" si="59"/>
        <v/>
      </c>
      <c r="N272" t="str">
        <f t="shared" si="60"/>
        <v>ol5c01514_si_002.xls</v>
      </c>
      <c r="O272" t="b">
        <f t="shared" si="61"/>
        <v>1</v>
      </c>
      <c r="P272" s="13" t="s">
        <v>652</v>
      </c>
      <c r="Q272" s="13" t="s">
        <v>653</v>
      </c>
      <c r="R272" t="str">
        <f t="shared" si="62"/>
        <v>002</v>
      </c>
      <c r="S272">
        <f t="shared" si="68"/>
        <v>192</v>
      </c>
      <c r="T272" s="13" t="str">
        <f>VLOOKUP(Q272,original!B:C,2,FALSE)</f>
        <v>Design of Fast Redox-Controlled Self-Immolative Selenium-Based Cysteine Surrogates</v>
      </c>
      <c r="U272" s="13" t="s">
        <v>655</v>
      </c>
      <c r="V272" t="str">
        <f t="shared" si="63"/>
        <v>ol5c01514</v>
      </c>
      <c r="W272" t="str">
        <f t="shared" si="64"/>
        <v>ol5c01514_si_002.zip</v>
      </c>
      <c r="X272" t="str">
        <f t="shared" si="65"/>
        <v>https://acs.figshare.com/articles/dataset/Design_of_Fast_Redox-Controlled_Self-Immolative_Selenium-Based_Cysteine_Surrogates/29136385</v>
      </c>
      <c r="Y272" s="1" t="str">
        <f t="shared" si="69"/>
        <v>--localSource c:/temp/acs2/data --targetDir c:/temp/acs2/$DOI$ --noDownload --readOnly  --pubDOI https://doi.org/10.1021/acs.orglett.5c01514 --dataDOI "10.1021/acs.orglett.5c01514https://acs.figshare.com/articles/dataset/Design_of_Fast_Redox-Controlled_Self-Immolative_Selenium-Based_Cysteine_Surrogates/29136385"</v>
      </c>
      <c r="Z272" t="str">
        <f t="shared" si="66"/>
        <v>&lt;br&gt;&lt;a href="https://doi.org/10.1021/acs.orglett.5c01514.s002"&gt;https://doi.org/10.1021/acs.orglett.5c01514.s002&lt;/a&gt;</v>
      </c>
      <c r="AA272" t="str">
        <f t="shared" si="67"/>
        <v/>
      </c>
    </row>
    <row r="273" spans="1:27" x14ac:dyDescent="0.35">
      <c r="A273">
        <v>272</v>
      </c>
      <c r="B273" s="5" t="str">
        <f t="shared" si="56"/>
        <v>ol5c01576</v>
      </c>
      <c r="C273" s="1" t="str">
        <f t="shared" si="57"/>
        <v>ol5c01576</v>
      </c>
      <c r="D273">
        <f>IF(F273=1,"",IF(AND(D272="",S272=S273),"",S273-SUM(F$2:F272)))</f>
        <v>146</v>
      </c>
      <c r="E273" t="str">
        <f t="shared" si="58"/>
        <v>0</v>
      </c>
      <c r="F273">
        <v>0</v>
      </c>
      <c r="H273">
        <v>71</v>
      </c>
      <c r="I273">
        <v>143</v>
      </c>
      <c r="M273" t="str">
        <f t="shared" si="59"/>
        <v>/*146 ol5c01576 */"https://doi.org/10.1021/acs.orglett.5c01576.s002",//Ru(II)-Catalyzed Reactions of ortho-Hydroxy Enaminones with Diazonaphthoquinones: Synthesis of Unsymmetrical Biaryl Diols</v>
      </c>
      <c r="N273" t="e">
        <f t="shared" si="60"/>
        <v>#N/A</v>
      </c>
      <c r="O273" t="b">
        <f t="shared" si="61"/>
        <v>0</v>
      </c>
      <c r="P273" s="13" t="s">
        <v>602</v>
      </c>
      <c r="Q273" s="13" t="s">
        <v>603</v>
      </c>
      <c r="R273" t="str">
        <f t="shared" si="62"/>
        <v>002</v>
      </c>
      <c r="S273">
        <f t="shared" si="68"/>
        <v>193</v>
      </c>
      <c r="T273" s="13" t="str">
        <f>VLOOKUP(Q273,original!B:C,2,FALSE)</f>
        <v>Ru(II)-Catalyzed Reactions of ortho-Hydroxy Enaminones with Diazonaphthoquinones: Synthesis of Unsymmetrical Biaryl Diols</v>
      </c>
      <c r="U273" s="13" t="s">
        <v>605</v>
      </c>
      <c r="V273" t="str">
        <f t="shared" si="63"/>
        <v>ol5c01576</v>
      </c>
      <c r="W273" t="str">
        <f t="shared" si="64"/>
        <v>ol5c01576_si_002.zip</v>
      </c>
      <c r="X273" t="str">
        <f t="shared" si="65"/>
        <v>https://acs.figshare.com/articles/dataset/Ru_II_-Catalyzed_Reactions_of_i_ortho_i_-Hydroxy_Enaminones_with_Diazonaphthoquinones_Synthesis_of_Unsymmetrical_Biaryl_Diols/29257541</v>
      </c>
      <c r="Y273" s="1" t="str">
        <f t="shared" si="69"/>
        <v>--localSource c:/temp/acs2/data --targetDir c:/temp/acs2/$DOI$ --noDownload --readOnly  --pubDOI https://doi.org/10.1021/acs.orglett.5c01576 --dataDOI "10.1021/acs.orglett.5c01576https://acs.figshare.com/articles/dataset/Ru_II_-Catalyzed_Reactions_of_i_ortho_i_-Hydroxy_Enaminones_with_Diazonaphthoquinones_Synthesis_of_Unsymmetrical_Biaryl_Diols/29257541"</v>
      </c>
      <c r="Z273" t="str">
        <f t="shared" si="66"/>
        <v>&lt;br&gt;&lt;a href="https://doi.org/10.1021/acs.orglett.5c01576.s002"&gt;https://doi.org/10.1021/acs.orglett.5c01576.s002&lt;/a&gt;</v>
      </c>
      <c r="AA273" t="str">
        <f t="shared" si="67"/>
        <v/>
      </c>
    </row>
    <row r="274" spans="1:27" x14ac:dyDescent="0.35">
      <c r="A274">
        <v>273</v>
      </c>
      <c r="B274" s="5" t="str">
        <f t="shared" si="56"/>
        <v>ol5c01666</v>
      </c>
      <c r="C274" s="1" t="str">
        <f t="shared" si="57"/>
        <v>#ol5c01666 gif only</v>
      </c>
      <c r="D274" t="str">
        <f>IF(F274=1,"",IF(AND(D273="",S273=S274),"",S274-SUM(F$2:F273)))</f>
        <v/>
      </c>
      <c r="E274" t="str">
        <f t="shared" si="58"/>
        <v>0</v>
      </c>
      <c r="F274">
        <v>1</v>
      </c>
      <c r="G274" t="s">
        <v>2278</v>
      </c>
      <c r="H274">
        <v>0</v>
      </c>
      <c r="I274">
        <v>0</v>
      </c>
      <c r="M274" t="str">
        <f t="shared" si="59"/>
        <v/>
      </c>
      <c r="N274" t="e">
        <f t="shared" si="60"/>
        <v>#N/A</v>
      </c>
      <c r="O274" t="b">
        <f t="shared" si="61"/>
        <v>0</v>
      </c>
      <c r="P274" s="13" t="s">
        <v>629</v>
      </c>
      <c r="Q274" s="13" t="s">
        <v>630</v>
      </c>
      <c r="R274" t="str">
        <f t="shared" si="62"/>
        <v>003</v>
      </c>
      <c r="S274">
        <f t="shared" si="68"/>
        <v>194</v>
      </c>
      <c r="T274" s="13" t="str">
        <f>VLOOKUP(Q274,original!B:C,2,FALSE)</f>
        <v>Loading Thiacorrole with Various Aromatic Rings: Enhanced NIR Absorption and Improved OER Activity</v>
      </c>
      <c r="U274" s="13" t="s">
        <v>632</v>
      </c>
      <c r="V274" t="str">
        <f t="shared" si="63"/>
        <v>ol5c01666</v>
      </c>
      <c r="W274" t="str">
        <f t="shared" si="64"/>
        <v>ol5c01666_si_003.zip</v>
      </c>
      <c r="X274" t="str">
        <f t="shared" si="65"/>
        <v>https://acs.figshare.com/articles/dataset/Loading_Thiacorrole_with_Various_Aromatic_Rings_Enhanced_NIR_Absorption_and_Improved_OER_Activity/29205405</v>
      </c>
      <c r="Y274" s="1" t="str">
        <f t="shared" si="69"/>
        <v>--localSource c:/temp/acs2/data --targetDir c:/temp/acs2/$DOI$ --noDownload --readOnly  --pubDOI https://doi.org/10.1021/acs.orglett.5c01666 --dataDOI "10.1021/acs.orglett.5c01666https://acs.figshare.com/articles/dataset/Loading_Thiacorrole_with_Various_Aromatic_Rings_Enhanced_NIR_Absorption_and_Improved_OER_Activity/29205405"</v>
      </c>
      <c r="Z274" t="str">
        <f t="shared" si="66"/>
        <v>&lt;br&gt;&lt;a href="https://doi.org/10.1021/acs.orglett.5c01666.s003"&gt;https://doi.org/10.1021/acs.orglett.5c01666.s003&lt;/a&gt;</v>
      </c>
      <c r="AA274" t="str">
        <f t="shared" si="67"/>
        <v/>
      </c>
    </row>
    <row r="275" spans="1:27" x14ac:dyDescent="0.35">
      <c r="A275">
        <v>274</v>
      </c>
      <c r="B275" s="5" t="str">
        <f t="shared" si="56"/>
        <v>ol5c01713</v>
      </c>
      <c r="C275" s="1" t="str">
        <f t="shared" si="57"/>
        <v>ol5c01713</v>
      </c>
      <c r="D275">
        <f>IF(F275=1,"",IF(AND(D274="",S274=S275),"",S275-SUM(F$2:F274)))</f>
        <v>147</v>
      </c>
      <c r="E275" t="str">
        <f t="shared" si="58"/>
        <v>0</v>
      </c>
      <c r="F275">
        <v>0</v>
      </c>
      <c r="H275">
        <v>45</v>
      </c>
      <c r="I275">
        <v>32</v>
      </c>
      <c r="M275" t="str">
        <f t="shared" si="59"/>
        <v>/*147 ol5c01713 */"https://doi.org/10.1021/acs.orglett.5c01713.s002",//Scalable Photoinduced Cycloaddition for the Synthesis of Biorelevant Oxazoles</v>
      </c>
      <c r="N275" t="e">
        <f t="shared" si="60"/>
        <v>#N/A</v>
      </c>
      <c r="O275" t="b">
        <f t="shared" si="61"/>
        <v>0</v>
      </c>
      <c r="P275" s="13" t="s">
        <v>636</v>
      </c>
      <c r="Q275" s="13" t="s">
        <v>637</v>
      </c>
      <c r="R275" t="str">
        <f t="shared" si="62"/>
        <v>002</v>
      </c>
      <c r="S275">
        <f t="shared" si="68"/>
        <v>195</v>
      </c>
      <c r="T275" s="13" t="str">
        <f>VLOOKUP(Q275,original!B:C,2,FALSE)</f>
        <v>Scalable Photoinduced Cycloaddition for the Synthesis of Biorelevant Oxazoles</v>
      </c>
      <c r="U275" s="13" t="s">
        <v>639</v>
      </c>
      <c r="V275" t="str">
        <f t="shared" si="63"/>
        <v>ol5c01713</v>
      </c>
      <c r="W275" t="str">
        <f t="shared" si="64"/>
        <v>ol5c01713_si_002.zip</v>
      </c>
      <c r="X275" t="str">
        <f t="shared" si="65"/>
        <v>https://acs.figshare.com/articles/dataset/Scalable_Photoinduced_Cycloaddition_for_the_Synthesis_of_Biorelevant_Oxazoles/29191681</v>
      </c>
      <c r="Y275" s="1" t="str">
        <f t="shared" si="69"/>
        <v>--localSource c:/temp/acs2/data --targetDir c:/temp/acs2/$DOI$ --noDownload --readOnly  --pubDOI https://doi.org/10.1021/acs.orglett.5c01713 --dataDOI "10.1021/acs.orglett.5c01713https://acs.figshare.com/articles/dataset/Scalable_Photoinduced_Cycloaddition_for_the_Synthesis_of_Biorelevant_Oxazoles/29191681"</v>
      </c>
      <c r="Z275" t="str">
        <f t="shared" si="66"/>
        <v>&lt;br&gt;&lt;a href="https://doi.org/10.1021/acs.orglett.5c01713.s002"&gt;https://doi.org/10.1021/acs.orglett.5c01713.s002&lt;/a&gt;</v>
      </c>
      <c r="AA275" t="str">
        <f t="shared" si="67"/>
        <v/>
      </c>
    </row>
    <row r="276" spans="1:27" x14ac:dyDescent="0.35">
      <c r="A276">
        <v>275</v>
      </c>
      <c r="B276" s="5" t="str">
        <f t="shared" si="56"/>
        <v>ol5c01721</v>
      </c>
      <c r="C276" s="1" t="str">
        <f t="shared" si="57"/>
        <v>ol5c01721</v>
      </c>
      <c r="D276">
        <f>IF(F276=1,"",IF(AND(D275="",S275=S276),"",S276-SUM(F$2:F275)))</f>
        <v>148</v>
      </c>
      <c r="E276" t="str">
        <f t="shared" si="58"/>
        <v>0</v>
      </c>
      <c r="F276">
        <v>0</v>
      </c>
      <c r="H276">
        <v>119</v>
      </c>
      <c r="I276">
        <v>225</v>
      </c>
      <c r="M276" t="str">
        <f t="shared" si="59"/>
        <v>/*148 ol5c01721 */"https://doi.org/10.1021/acs.orglett.5c01721.s002",//Manganese Complex-Catalyzed (De)hydrogenative Cyclization toward the Selective Synthesis of 2‑Substituted and 2,3-Disubstituted 4‑Quinolones</v>
      </c>
      <c r="N276" t="e">
        <f t="shared" si="60"/>
        <v>#N/A</v>
      </c>
      <c r="O276" t="b">
        <f t="shared" si="61"/>
        <v>0</v>
      </c>
      <c r="P276" s="13" t="s">
        <v>612</v>
      </c>
      <c r="Q276" s="13" t="s">
        <v>613</v>
      </c>
      <c r="R276" t="str">
        <f t="shared" si="62"/>
        <v>002</v>
      </c>
      <c r="S276">
        <f t="shared" si="68"/>
        <v>196</v>
      </c>
      <c r="T276" s="13" t="str">
        <f>VLOOKUP(Q276,original!B:C,2,FALSE)</f>
        <v>Manganese Complex-Catalyzed (De)hydrogenative Cyclization toward the Selective Synthesis of 2‑Substituted and 2,3-Disubstituted 4‑Quinolones</v>
      </c>
      <c r="U276" s="13" t="s">
        <v>614</v>
      </c>
      <c r="V276" t="str">
        <f t="shared" si="63"/>
        <v>ol5c01721</v>
      </c>
      <c r="W276" t="str">
        <f t="shared" si="64"/>
        <v>ol5c01721_si_002.zip</v>
      </c>
      <c r="X276" t="str">
        <f t="shared" si="65"/>
        <v>https://acs.figshare.com/articles/dataset/Manganese_Complex-Catalyzed_De_hydrogenative_Cyclization_toward_the_Selective_Synthesis_of_2_Substituted_and_2_3-Disubstituted_4_Quinolones/29242965</v>
      </c>
      <c r="Y276" s="1" t="str">
        <f t="shared" si="69"/>
        <v>--localSource c:/temp/acs2/data --targetDir c:/temp/acs2/$DOI$ --noDownload --readOnly  --pubDOI https://doi.org/10.1021/acs.orglett.5c01721 --dataDOI "10.1021/acs.orglett.5c01721https://acs.figshare.com/articles/dataset/Manganese_Complex-Catalyzed_De_hydrogenative_Cyclization_toward_the_Selective_Synthesis_of_2_Substituted_and_2_3-Disubstituted_4_Quinolones/29242965"</v>
      </c>
      <c r="Z276" t="str">
        <f t="shared" si="66"/>
        <v>&lt;br&gt;&lt;a href="https://doi.org/10.1021/acs.orglett.5c01721.s002"&gt;https://doi.org/10.1021/acs.orglett.5c01721.s002&lt;/a&gt;</v>
      </c>
      <c r="AA276" t="str">
        <f t="shared" si="67"/>
        <v/>
      </c>
    </row>
    <row r="277" spans="1:27" x14ac:dyDescent="0.35">
      <c r="A277">
        <v>276</v>
      </c>
      <c r="B277" s="5" t="str">
        <f t="shared" si="56"/>
        <v>ol5c01805</v>
      </c>
      <c r="C277" s="1" t="str">
        <f t="shared" si="57"/>
        <v>ol5c01805</v>
      </c>
      <c r="D277">
        <f>IF(F277=1,"",IF(AND(D276="",S276=S277),"",S277-SUM(F$2:F276)))</f>
        <v>149</v>
      </c>
      <c r="E277" t="str">
        <f t="shared" si="58"/>
        <v>0</v>
      </c>
      <c r="F277">
        <v>0</v>
      </c>
      <c r="H277">
        <v>104</v>
      </c>
      <c r="I277">
        <v>390</v>
      </c>
      <c r="M277" t="str">
        <f t="shared" si="59"/>
        <v>/*149 ol5c01805 */"https://doi.org/10.1021/acs.orglett.5c01805.s002",//P(O)Me2–Alkenes: From Synthesis to Applications</v>
      </c>
      <c r="N277" t="e">
        <f t="shared" si="60"/>
        <v>#N/A</v>
      </c>
      <c r="O277" t="b">
        <f t="shared" si="61"/>
        <v>0</v>
      </c>
      <c r="P277" s="13" t="s">
        <v>640</v>
      </c>
      <c r="Q277" s="13" t="s">
        <v>641</v>
      </c>
      <c r="R277" t="str">
        <f t="shared" si="62"/>
        <v>002</v>
      </c>
      <c r="S277">
        <f t="shared" si="68"/>
        <v>197</v>
      </c>
      <c r="T277" s="13" t="str">
        <f>VLOOKUP(Q277,original!B:C,2,FALSE)</f>
        <v>P(O)Me2–Alkenes: From Synthesis to Applications</v>
      </c>
      <c r="U277" s="13" t="s">
        <v>642</v>
      </c>
      <c r="V277" t="str">
        <f t="shared" si="63"/>
        <v>ol5c01805</v>
      </c>
      <c r="W277" t="str">
        <f t="shared" si="64"/>
        <v>ol5c01805_si_002.zip</v>
      </c>
      <c r="X277" t="str">
        <f t="shared" si="65"/>
        <v>https://acs.figshare.com/articles/dataset/P_O_Me_sub_2_sub_Alkenes_From_Synthesis_to_Applications/29189710</v>
      </c>
      <c r="Y277" s="1" t="str">
        <f t="shared" si="69"/>
        <v>--localSource c:/temp/acs2/data --targetDir c:/temp/acs2/$DOI$ --noDownload --readOnly  --pubDOI https://doi.org/10.1021/acs.orglett.5c01805 --dataDOI "10.1021/acs.orglett.5c01805https://acs.figshare.com/articles/dataset/P_O_Me_sub_2_sub_Alkenes_From_Synthesis_to_Applications/29189710"</v>
      </c>
      <c r="Z277" t="str">
        <f t="shared" si="66"/>
        <v>&lt;br&gt;&lt;a href="https://doi.org/10.1021/acs.orglett.5c01805.s002"&gt;https://doi.org/10.1021/acs.orglett.5c01805.s002&lt;/a&gt;</v>
      </c>
      <c r="AA277" t="str">
        <f t="shared" si="67"/>
        <v/>
      </c>
    </row>
    <row r="278" spans="1:27" x14ac:dyDescent="0.35">
      <c r="A278">
        <v>277</v>
      </c>
      <c r="B278" s="5" t="str">
        <f t="shared" si="56"/>
        <v>ol5c01902</v>
      </c>
      <c r="C278" s="1" t="str">
        <f t="shared" si="57"/>
        <v>#ol5c01902 xyz</v>
      </c>
      <c r="D278" t="str">
        <f>IF(F278=1,"",IF(AND(D277="",S277=S278),"",S278-SUM(F$2:F277)))</f>
        <v/>
      </c>
      <c r="E278" t="str">
        <f t="shared" si="58"/>
        <v>0</v>
      </c>
      <c r="F278">
        <v>1</v>
      </c>
      <c r="G278" t="s">
        <v>1097</v>
      </c>
      <c r="M278" t="str">
        <f t="shared" si="59"/>
        <v/>
      </c>
      <c r="N278" t="str">
        <f t="shared" si="60"/>
        <v>ol5c01902_si_002.xyz</v>
      </c>
      <c r="O278" t="b">
        <f t="shared" si="61"/>
        <v>1</v>
      </c>
      <c r="P278" s="13" t="s">
        <v>569</v>
      </c>
      <c r="Q278" s="13" t="s">
        <v>570</v>
      </c>
      <c r="R278" t="str">
        <f t="shared" si="62"/>
        <v>002</v>
      </c>
      <c r="S278">
        <f t="shared" si="68"/>
        <v>198</v>
      </c>
      <c r="T278" s="13" t="str">
        <f>VLOOKUP(Q278,original!B:C,2,FALSE)</f>
        <v>π‑Truncation of a Parent Nanographene: Chirally Twisted Green Fluorophores</v>
      </c>
      <c r="U278" s="13" t="s">
        <v>571</v>
      </c>
      <c r="V278" t="str">
        <f t="shared" si="63"/>
        <v>ol5c01902</v>
      </c>
      <c r="W278" t="str">
        <f t="shared" si="64"/>
        <v>ol5c01902_si_002.zip</v>
      </c>
      <c r="X278" t="str">
        <f t="shared" si="65"/>
        <v>https://acs.figshare.com/articles/dataset/_Truncation_of_a_Parent_Nanographene_Chirally_Twisted_Green_Fluorophores/29361006</v>
      </c>
      <c r="Y278" s="1" t="str">
        <f t="shared" si="69"/>
        <v>--localSource c:/temp/acs2/data --targetDir c:/temp/acs2/$DOI$ --noDownload --readOnly  --pubDOI https://doi.org/10.1021/acs.orglett.5c01902 --dataDOI "10.1021/acs.orglett.5c01902https://acs.figshare.com/articles/dataset/_Truncation_of_a_Parent_Nanographene_Chirally_Twisted_Green_Fluorophores/29361006"</v>
      </c>
      <c r="Z278" t="str">
        <f t="shared" si="66"/>
        <v>&lt;br&gt;&lt;a href="https://doi.org/10.1021/acs.orglett.5c01902.s002"&gt;https://doi.org/10.1021/acs.orglett.5c01902.s002&lt;/a&gt;</v>
      </c>
      <c r="AA278" t="str">
        <f t="shared" si="67"/>
        <v/>
      </c>
    </row>
    <row r="279" spans="1:27" x14ac:dyDescent="0.35">
      <c r="A279">
        <v>278</v>
      </c>
      <c r="B279" s="5" t="str">
        <f t="shared" si="56"/>
        <v>ol5c01936</v>
      </c>
      <c r="C279" s="1" t="str">
        <f t="shared" si="57"/>
        <v>ol5c01936</v>
      </c>
      <c r="D279">
        <f>IF(F279=1,"",IF(AND(D278="",S278=S279),"",S279-SUM(F$2:F278)))</f>
        <v>150</v>
      </c>
      <c r="E279" t="str">
        <f t="shared" si="58"/>
        <v>0</v>
      </c>
      <c r="F279">
        <v>0</v>
      </c>
      <c r="H279">
        <v>27</v>
      </c>
      <c r="I279">
        <v>55</v>
      </c>
      <c r="M279" t="str">
        <f t="shared" si="59"/>
        <v>/*150 ol5c01936 */"https://doi.org/10.1021/acs.orglett.5c01936.s001",//General Strategy to Access N‑Aryl Heptamethine Indocyanines for Optical Tuning</v>
      </c>
      <c r="N279" t="e">
        <f t="shared" si="60"/>
        <v>#N/A</v>
      </c>
      <c r="O279" t="b">
        <f t="shared" si="61"/>
        <v>0</v>
      </c>
      <c r="P279" s="13" t="s">
        <v>576</v>
      </c>
      <c r="Q279" s="13" t="s">
        <v>577</v>
      </c>
      <c r="R279" t="str">
        <f t="shared" si="62"/>
        <v>001</v>
      </c>
      <c r="S279">
        <f t="shared" si="68"/>
        <v>199</v>
      </c>
      <c r="T279" s="13" t="str">
        <f>VLOOKUP(Q279,original!B:C,2,FALSE)</f>
        <v>General Strategy to Access N‑Aryl Heptamethine Indocyanines for Optical Tuning</v>
      </c>
      <c r="U279" s="13" t="s">
        <v>578</v>
      </c>
      <c r="V279" t="str">
        <f t="shared" si="63"/>
        <v>ol5c01936</v>
      </c>
      <c r="W279" t="str">
        <f t="shared" si="64"/>
        <v>ol5c01936_si_001.zip</v>
      </c>
      <c r="X279" t="str">
        <f t="shared" si="65"/>
        <v>https://acs.figshare.com/articles/dataset/General_Strategy_to_Access_i_N_i_Aryl_Heptamethine_Indocyanines_for_Optical_Tuning/29346699</v>
      </c>
      <c r="Y279" s="1" t="str">
        <f t="shared" si="69"/>
        <v>--localSource c:/temp/acs2/data --targetDir c:/temp/acs2/$DOI$ --noDownload --readOnly  --pubDOI https://doi.org/10.1021/acs.orglett.5c01936 --dataDOI "10.1021/acs.orglett.5c01936https://acs.figshare.com/articles/dataset/General_Strategy_to_Access_i_N_i_Aryl_Heptamethine_Indocyanines_for_Optical_Tuning/29346699"</v>
      </c>
      <c r="Z279" t="str">
        <f t="shared" si="66"/>
        <v>&lt;br&gt;&lt;a href="https://doi.org/10.1021/acs.orglett.5c01936.s001"&gt;https://doi.org/10.1021/acs.orglett.5c01936.s001&lt;/a&gt;</v>
      </c>
      <c r="AA279" t="str">
        <f t="shared" si="67"/>
        <v/>
      </c>
    </row>
    <row r="280" spans="1:27" x14ac:dyDescent="0.35">
      <c r="A280">
        <v>279</v>
      </c>
      <c r="B280" s="5" t="str">
        <f t="shared" si="56"/>
        <v>ol5c01955</v>
      </c>
      <c r="C280" s="1" t="str">
        <f t="shared" si="57"/>
        <v>#ol5c01955 xls</v>
      </c>
      <c r="D280" t="str">
        <f>IF(F280=1,"",IF(AND(D279="",S279=S280),"",S280-SUM(F$2:F279)))</f>
        <v/>
      </c>
      <c r="E280" t="str">
        <f t="shared" si="58"/>
        <v>0</v>
      </c>
      <c r="F280">
        <v>1</v>
      </c>
      <c r="G280" t="s">
        <v>1096</v>
      </c>
      <c r="M280" t="str">
        <f t="shared" si="59"/>
        <v/>
      </c>
      <c r="N280" t="str">
        <f t="shared" si="60"/>
        <v>ol5c01955_si_002.xls</v>
      </c>
      <c r="O280" t="b">
        <f t="shared" si="61"/>
        <v>1</v>
      </c>
      <c r="P280" s="13" t="s">
        <v>579</v>
      </c>
      <c r="Q280" s="13" t="s">
        <v>580</v>
      </c>
      <c r="R280" t="str">
        <f t="shared" si="62"/>
        <v>002</v>
      </c>
      <c r="S280">
        <f t="shared" si="68"/>
        <v>200</v>
      </c>
      <c r="T280" s="13" t="str">
        <f>VLOOKUP(Q280,original!B:C,2,FALSE)</f>
        <v>Isolation and Computer-Based Structural Determination of Madangolide B</v>
      </c>
      <c r="U280" s="13" t="s">
        <v>582</v>
      </c>
      <c r="V280" t="str">
        <f t="shared" si="63"/>
        <v>ol5c01955</v>
      </c>
      <c r="W280" t="str">
        <f t="shared" si="64"/>
        <v>ol5c01955_si_002.zip</v>
      </c>
      <c r="X280" t="str">
        <f t="shared" si="65"/>
        <v>https://acs.figshare.com/articles/dataset/Isolation_and_Computer-Based_Structural_Determination_of_Madangolide_B/29341064</v>
      </c>
      <c r="Y280" s="1" t="str">
        <f t="shared" si="69"/>
        <v>--localSource c:/temp/acs2/data --targetDir c:/temp/acs2/$DOI$ --noDownload --readOnly  --pubDOI https://doi.org/10.1021/acs.orglett.5c01955 --dataDOI "10.1021/acs.orglett.5c01955https://acs.figshare.com/articles/dataset/Isolation_and_Computer-Based_Structural_Determination_of_Madangolide_B/29341064"</v>
      </c>
      <c r="Z280" t="str">
        <f t="shared" si="66"/>
        <v>&lt;br&gt;&lt;a href="https://doi.org/10.1021/acs.orglett.5c01955.s002"&gt;https://doi.org/10.1021/acs.orglett.5c01955.s002&lt;/a&gt;</v>
      </c>
      <c r="AA280" t="str">
        <f t="shared" si="67"/>
        <v/>
      </c>
    </row>
    <row r="281" spans="1:27" x14ac:dyDescent="0.35">
      <c r="A281">
        <v>280</v>
      </c>
      <c r="B281" s="5" t="str">
        <f t="shared" si="56"/>
        <v>ol5c01966</v>
      </c>
      <c r="C281" s="1" t="str">
        <f t="shared" si="57"/>
        <v>ol5c01966</v>
      </c>
      <c r="D281">
        <f>IF(F281=1,"",IF(AND(D280="",S280=S281),"",S281-SUM(F$2:F280)))</f>
        <v>151</v>
      </c>
      <c r="E281" t="str">
        <f t="shared" si="58"/>
        <v>0</v>
      </c>
      <c r="F281">
        <v>0</v>
      </c>
      <c r="H281">
        <v>24</v>
      </c>
      <c r="I281">
        <v>59</v>
      </c>
      <c r="M281" t="str">
        <f t="shared" si="59"/>
        <v>/*151 ol5c01966 */"https://doi.org/10.1021/acs.orglett.5c01966.s002",//Chan-Evans-Lam Cu(II)-Catalyzed C–O Cross-Couplings: Broadening Synthetic Access to Functionalized Vinylic Ethers</v>
      </c>
      <c r="N281" t="e">
        <f t="shared" si="60"/>
        <v>#N/A</v>
      </c>
      <c r="O281" t="b">
        <f t="shared" si="61"/>
        <v>0</v>
      </c>
      <c r="P281" s="13" t="s">
        <v>543</v>
      </c>
      <c r="Q281" s="13" t="s">
        <v>544</v>
      </c>
      <c r="R281" t="str">
        <f t="shared" si="62"/>
        <v>002</v>
      </c>
      <c r="S281">
        <f t="shared" si="68"/>
        <v>201</v>
      </c>
      <c r="T281" s="13" t="str">
        <f>VLOOKUP(Q281,original!B:C,2,FALSE)</f>
        <v>Chan-Evans-Lam Cu(II)-Catalyzed C–O Cross-Couplings: Broadening Synthetic Access to Functionalized Vinylic Ethers</v>
      </c>
      <c r="U281" s="13" t="s">
        <v>545</v>
      </c>
      <c r="V281" t="str">
        <f t="shared" si="63"/>
        <v>ol5c01966</v>
      </c>
      <c r="W281" t="str">
        <f t="shared" si="64"/>
        <v>ol5c01966_si_002.zip</v>
      </c>
      <c r="X281" t="str">
        <f t="shared" si="65"/>
        <v>https://acs.figshare.com/articles/dataset/Chan-Evans-Lam_Cu_II_-Catalyzed_C_O_Cross-Couplings_Broadening_Synthetic_Access_to_Functionalized_Vinylic_Ethers/29424327</v>
      </c>
      <c r="Y281" s="1" t="str">
        <f t="shared" si="69"/>
        <v>--localSource c:/temp/acs2/data --targetDir c:/temp/acs2/$DOI$ --noDownload --readOnly  --pubDOI https://doi.org/10.1021/acs.orglett.5c01966 --dataDOI "10.1021/acs.orglett.5c01966https://acs.figshare.com/articles/dataset/Chan-Evans-Lam_Cu_II_-Catalyzed_C_O_Cross-Couplings_Broadening_Synthetic_Access_to_Functionalized_Vinylic_Ethers/29424327"</v>
      </c>
      <c r="Z281" t="str">
        <f t="shared" si="66"/>
        <v>&lt;br&gt;&lt;a href="https://doi.org/10.1021/acs.orglett.5c01966.s002"&gt;https://doi.org/10.1021/acs.orglett.5c01966.s002&lt;/a&gt;</v>
      </c>
      <c r="AA281" t="str">
        <f t="shared" si="67"/>
        <v/>
      </c>
    </row>
    <row r="282" spans="1:27" x14ac:dyDescent="0.35">
      <c r="A282">
        <v>281</v>
      </c>
      <c r="B282" s="5" t="str">
        <f t="shared" si="56"/>
        <v>ol5c02004</v>
      </c>
      <c r="C282" s="1" t="str">
        <f t="shared" si="57"/>
        <v>ol5c02004</v>
      </c>
      <c r="D282">
        <f>IF(F282=1,"",IF(AND(D281="",S281=S282),"",S282-SUM(F$2:F281)))</f>
        <v>152</v>
      </c>
      <c r="E282" t="str">
        <f t="shared" si="58"/>
        <v>0</v>
      </c>
      <c r="F282">
        <v>0</v>
      </c>
      <c r="H282">
        <v>44</v>
      </c>
      <c r="I282">
        <v>92</v>
      </c>
      <c r="M282" t="str">
        <f t="shared" si="59"/>
        <v>/*152 ol5c02004 */"https://doi.org/10.1021/acs.orglett.5c02004.s002",//Ligand-Enabled Room-Temperature Three-Component Strategy for Mono-α-arylation of Acetone with Cyclic Diaryliodonium Salts and Alkenes</v>
      </c>
      <c r="N282" t="e">
        <f t="shared" si="60"/>
        <v>#N/A</v>
      </c>
      <c r="O282" t="b">
        <f t="shared" si="61"/>
        <v>0</v>
      </c>
      <c r="P282" s="13" t="s">
        <v>383</v>
      </c>
      <c r="Q282" s="13" t="s">
        <v>384</v>
      </c>
      <c r="R282" t="str">
        <f t="shared" si="62"/>
        <v>002</v>
      </c>
      <c r="S282">
        <f t="shared" si="68"/>
        <v>202</v>
      </c>
      <c r="T282" s="13" t="str">
        <f>VLOOKUP(Q282,original!B:C,2,FALSE)</f>
        <v>Ligand-Enabled Room-Temperature Three-Component Strategy for Mono-α-arylation of Acetone with Cyclic Diaryliodonium Salts and Alkenes</v>
      </c>
      <c r="U282" s="13" t="s">
        <v>385</v>
      </c>
      <c r="V282" t="str">
        <f t="shared" si="63"/>
        <v>ol5c02004</v>
      </c>
      <c r="W282" t="str">
        <f t="shared" si="64"/>
        <v>ol5c02004_si_002.zip</v>
      </c>
      <c r="X282" t="str">
        <f t="shared" si="65"/>
        <v>https://acs.figshare.com/articles/dataset/Ligand-Enabled_Room-Temperature_Three-Component_Strategy_for_Mono-_-arylation_of_Acetone_with_Cyclic_Diaryliodonium_Salts_and_Alkenes/29908246</v>
      </c>
      <c r="Y282" s="1" t="str">
        <f t="shared" si="69"/>
        <v>--localSource c:/temp/acs2/data --targetDir c:/temp/acs2/$DOI$ --noDownload --readOnly  --pubDOI https://doi.org/10.1021/acs.orglett.5c02004 --dataDOI "10.1021/acs.orglett.5c02004https://acs.figshare.com/articles/dataset/Ligand-Enabled_Room-Temperature_Three-Component_Strategy_for_Mono-_-arylation_of_Acetone_with_Cyclic_Diaryliodonium_Salts_and_Alkenes/29908246"</v>
      </c>
      <c r="Z282" t="str">
        <f t="shared" si="66"/>
        <v>&lt;br&gt;&lt;a href="https://doi.org/10.1021/acs.orglett.5c02004.s002"&gt;https://doi.org/10.1021/acs.orglett.5c02004.s002&lt;/a&gt;</v>
      </c>
      <c r="AA282" t="str">
        <f t="shared" si="67"/>
        <v/>
      </c>
    </row>
    <row r="283" spans="1:27" x14ac:dyDescent="0.35">
      <c r="A283">
        <v>282</v>
      </c>
      <c r="B283" s="5" t="str">
        <f t="shared" si="56"/>
        <v>ol5c02041</v>
      </c>
      <c r="C283" s="1" t="str">
        <f t="shared" si="57"/>
        <v>#ol5c02041 text</v>
      </c>
      <c r="D283" t="str">
        <f>IF(F283=1,"",IF(AND(D282="",S282=S283),"",S283-SUM(F$2:F282)))</f>
        <v/>
      </c>
      <c r="E283" t="str">
        <f t="shared" si="58"/>
        <v>0</v>
      </c>
      <c r="F283">
        <v>1</v>
      </c>
      <c r="G283" t="s">
        <v>1099</v>
      </c>
      <c r="M283" t="str">
        <f t="shared" si="59"/>
        <v/>
      </c>
      <c r="N283" t="e">
        <f t="shared" si="60"/>
        <v>#N/A</v>
      </c>
      <c r="O283" t="b">
        <f t="shared" si="61"/>
        <v>0</v>
      </c>
      <c r="P283" s="13" t="s">
        <v>555</v>
      </c>
      <c r="Q283" s="13" t="s">
        <v>556</v>
      </c>
      <c r="R283" t="str">
        <f t="shared" si="62"/>
        <v>002</v>
      </c>
      <c r="S283">
        <f t="shared" si="68"/>
        <v>203</v>
      </c>
      <c r="T283" s="13" t="str">
        <f>VLOOKUP(Q283,original!B:C,2,FALSE)</f>
        <v>Synthesis and Characterization of Atropdiastereomeric Macrocyclic Metacyclophanes</v>
      </c>
      <c r="U283" s="13" t="s">
        <v>558</v>
      </c>
      <c r="V283" t="str">
        <f t="shared" si="63"/>
        <v>ol5c02041</v>
      </c>
      <c r="W283" t="str">
        <f t="shared" si="64"/>
        <v>ol5c02041_si_002.zip</v>
      </c>
      <c r="X283" t="str">
        <f t="shared" si="65"/>
        <v>https://acs.figshare.com/articles/dataset/Synthesis_and_Characterization_of_Atropdiastereomeric_Macrocyclic_Metacyclophanes/29379768</v>
      </c>
      <c r="Y283" s="1" t="str">
        <f t="shared" si="69"/>
        <v>--localSource c:/temp/acs2/data --targetDir c:/temp/acs2/$DOI$ --noDownload --readOnly  --pubDOI https://doi.org/10.1021/acs.orglett.5c02041 --dataDOI "10.1021/acs.orglett.5c02041https://acs.figshare.com/articles/dataset/Synthesis_and_Characterization_of_Atropdiastereomeric_Macrocyclic_Metacyclophanes/29379768"</v>
      </c>
      <c r="Z283" t="str">
        <f t="shared" si="66"/>
        <v>&lt;br&gt;&lt;a href="https://doi.org/10.1021/acs.orglett.5c02041.s002"&gt;https://doi.org/10.1021/acs.orglett.5c02041.s002&lt;/a&gt;</v>
      </c>
      <c r="AA283" t="str">
        <f t="shared" si="67"/>
        <v/>
      </c>
    </row>
    <row r="284" spans="1:27" x14ac:dyDescent="0.35">
      <c r="A284">
        <v>283</v>
      </c>
      <c r="B284" s="5" t="str">
        <f t="shared" si="56"/>
        <v>ol5c02079</v>
      </c>
      <c r="C284" s="1" t="str">
        <f t="shared" si="57"/>
        <v>ol5c02079</v>
      </c>
      <c r="D284">
        <f>IF(F284=1,"",IF(AND(D283="",S283=S284),"",S284-SUM(F$2:F283)))</f>
        <v>153</v>
      </c>
      <c r="E284" t="str">
        <f t="shared" si="58"/>
        <v>0</v>
      </c>
      <c r="F284">
        <v>0</v>
      </c>
      <c r="H284">
        <v>32</v>
      </c>
      <c r="I284">
        <v>127</v>
      </c>
      <c r="M284" t="str">
        <f t="shared" si="59"/>
        <v>/*153 ol5c02079 */"https://doi.org/10.1021/acs.orglett.5c02079.s002",//Access to SCF3‑Substituted Indolizines via a Photocatalytic Late-Stage Functionalization Protocol</v>
      </c>
      <c r="N284" t="e">
        <f t="shared" si="60"/>
        <v>#N/A</v>
      </c>
      <c r="O284" t="b">
        <f t="shared" si="61"/>
        <v>0</v>
      </c>
      <c r="P284" s="13" t="s">
        <v>472</v>
      </c>
      <c r="Q284" s="13" t="s">
        <v>473</v>
      </c>
      <c r="R284" t="str">
        <f t="shared" si="62"/>
        <v>002</v>
      </c>
      <c r="S284">
        <f t="shared" si="68"/>
        <v>204</v>
      </c>
      <c r="T284" s="13" t="str">
        <f>VLOOKUP(Q284,original!B:C,2,FALSE)</f>
        <v>Access to SCF3‑Substituted Indolizines via a Photocatalytic Late-Stage Functionalization Protocol</v>
      </c>
      <c r="U284" s="13" t="s">
        <v>474</v>
      </c>
      <c r="V284" t="str">
        <f t="shared" si="63"/>
        <v>ol5c02079</v>
      </c>
      <c r="W284" t="str">
        <f t="shared" si="64"/>
        <v>ol5c02079_si_002.zip</v>
      </c>
      <c r="X284" t="str">
        <f t="shared" si="65"/>
        <v>https://acs.figshare.com/articles/dataset/Access_to_SCF_sub_3_sub_Substituted_Indolizines_via_a_Photocatalytic_Late-Stage_Functionalization_Protocol/29608562</v>
      </c>
      <c r="Y284" s="1" t="str">
        <f t="shared" si="69"/>
        <v>--localSource c:/temp/acs2/data --targetDir c:/temp/acs2/$DOI$ --noDownload --readOnly  --pubDOI https://doi.org/10.1021/acs.orglett.5c02079 --dataDOI "10.1021/acs.orglett.5c02079https://acs.figshare.com/articles/dataset/Access_to_SCF_sub_3_sub_Substituted_Indolizines_via_a_Photocatalytic_Late-Stage_Functionalization_Protocol/29608562"</v>
      </c>
      <c r="Z284" t="str">
        <f t="shared" si="66"/>
        <v>&lt;br&gt;&lt;a href="https://doi.org/10.1021/acs.orglett.5c02079.s002"&gt;https://doi.org/10.1021/acs.orglett.5c02079.s002&lt;/a&gt;</v>
      </c>
      <c r="AA284" t="str">
        <f t="shared" si="67"/>
        <v/>
      </c>
    </row>
    <row r="285" spans="1:27" x14ac:dyDescent="0.35">
      <c r="A285">
        <v>284</v>
      </c>
      <c r="B285" s="5" t="str">
        <f t="shared" si="56"/>
        <v>ol5c02150</v>
      </c>
      <c r="C285" s="1" t="str">
        <f t="shared" si="57"/>
        <v>ol5c02150</v>
      </c>
      <c r="D285">
        <f>IF(F285=1,"",IF(AND(D284="",S284=S285),"",S285-SUM(F$2:F284)))</f>
        <v>154</v>
      </c>
      <c r="E285" t="str">
        <f t="shared" si="58"/>
        <v>0</v>
      </c>
      <c r="F285">
        <v>0</v>
      </c>
      <c r="H285">
        <v>18</v>
      </c>
      <c r="I285">
        <v>18</v>
      </c>
      <c r="M285" t="str">
        <f t="shared" si="59"/>
        <v>/*154 ol5c02150 */"https://doi.org/10.1021/acs.orglett.5c02150.s002",//All-Aza meso-Benzo-Fused Triphyrins(2.1.1): Large Bathochromic Shift and Intensified Absorption via π‑Extended Conjugation</v>
      </c>
      <c r="N285" t="e">
        <f t="shared" si="60"/>
        <v>#N/A</v>
      </c>
      <c r="O285" t="b">
        <f t="shared" si="61"/>
        <v>0</v>
      </c>
      <c r="P285" s="13" t="s">
        <v>486</v>
      </c>
      <c r="Q285" s="13" t="s">
        <v>487</v>
      </c>
      <c r="R285" t="str">
        <f t="shared" si="62"/>
        <v>002</v>
      </c>
      <c r="S285">
        <f t="shared" si="68"/>
        <v>205</v>
      </c>
      <c r="T285" s="13" t="str">
        <f>VLOOKUP(Q285,original!B:C,2,FALSE)</f>
        <v>All-Aza meso-Benzo-Fused Triphyrins(2.1.1): Large Bathochromic Shift and Intensified Absorption via π‑Extended Conjugation</v>
      </c>
      <c r="U285" s="13" t="s">
        <v>488</v>
      </c>
      <c r="V285" t="str">
        <f t="shared" si="63"/>
        <v>ol5c02150</v>
      </c>
      <c r="W285" t="str">
        <f t="shared" si="64"/>
        <v>ol5c02150_si_002.zip</v>
      </c>
      <c r="X285" t="str">
        <f t="shared" si="65"/>
        <v>https://acs.figshare.com/articles/dataset/All-Aza_i_meso_i_-Benzo-Fused_Triphyrins_2_1_1_Large_Bathochromic_Shift_and_Intensified_Absorption_via_Extended_Conjugation/29539592</v>
      </c>
      <c r="Y285" s="1" t="str">
        <f t="shared" si="69"/>
        <v>--localSource c:/temp/acs2/data --targetDir c:/temp/acs2/$DOI$ --noDownload --readOnly  --pubDOI https://doi.org/10.1021/acs.orglett.5c02150 --dataDOI "10.1021/acs.orglett.5c02150https://acs.figshare.com/articles/dataset/All-Aza_i_meso_i_-Benzo-Fused_Triphyrins_2_1_1_Large_Bathochromic_Shift_and_Intensified_Absorption_via_Extended_Conjugation/29539592"</v>
      </c>
      <c r="Z285" t="str">
        <f t="shared" si="66"/>
        <v>&lt;br&gt;&lt;a href="https://doi.org/10.1021/acs.orglett.5c02150.s002"&gt;https://doi.org/10.1021/acs.orglett.5c02150.s002&lt;/a&gt;</v>
      </c>
      <c r="AA285" t="str">
        <f t="shared" si="67"/>
        <v/>
      </c>
    </row>
    <row r="286" spans="1:27" x14ac:dyDescent="0.35">
      <c r="A286">
        <v>285</v>
      </c>
      <c r="B286" s="5" t="str">
        <f t="shared" si="56"/>
        <v>ol5c02270</v>
      </c>
      <c r="C286" s="1" t="str">
        <f t="shared" si="57"/>
        <v>#ol5c02270 python only</v>
      </c>
      <c r="D286" t="str">
        <f>IF(F286=1,"",IF(AND(D285="",S285=S286),"",S286-SUM(F$2:F285)))</f>
        <v/>
      </c>
      <c r="E286" t="str">
        <f t="shared" si="58"/>
        <v>0</v>
      </c>
      <c r="F286">
        <v>1</v>
      </c>
      <c r="G286" t="s">
        <v>2280</v>
      </c>
      <c r="H286">
        <v>0</v>
      </c>
      <c r="I286">
        <v>0</v>
      </c>
      <c r="M286" t="str">
        <f t="shared" si="59"/>
        <v/>
      </c>
      <c r="N286" t="e">
        <f t="shared" si="60"/>
        <v>#N/A</v>
      </c>
      <c r="O286" t="b">
        <f t="shared" si="61"/>
        <v>0</v>
      </c>
      <c r="P286" s="13" t="s">
        <v>482</v>
      </c>
      <c r="Q286" s="13" t="s">
        <v>483</v>
      </c>
      <c r="R286" t="str">
        <f t="shared" si="62"/>
        <v>002</v>
      </c>
      <c r="S286">
        <f t="shared" si="68"/>
        <v>206</v>
      </c>
      <c r="T286" s="13" t="str">
        <f>VLOOKUP(Q286,original!B:C,2,FALSE)</f>
        <v>Image-Based Machine Learning Using Inkjet-Printed Chemicals: Mixing Ratio Prediction and Metal Ion Detection</v>
      </c>
      <c r="U286" s="13" t="s">
        <v>485</v>
      </c>
      <c r="V286" t="str">
        <f t="shared" si="63"/>
        <v>ol5c02270</v>
      </c>
      <c r="W286" t="str">
        <f t="shared" si="64"/>
        <v>ol5c02270_si_002.zip</v>
      </c>
      <c r="X286" t="str">
        <f t="shared" si="65"/>
        <v>https://acs.figshare.com/articles/dataset/Image-Based_Machine_Learning_Using_Inkjet-Printed_Chemicals_Mixing_Ratio_Prediction_and_Metal_Ion_Detection/29553077</v>
      </c>
      <c r="Y286" s="1" t="str">
        <f t="shared" si="69"/>
        <v>--localSource c:/temp/acs2/data --targetDir c:/temp/acs2/$DOI$ --noDownload --readOnly  --pubDOI https://doi.org/10.1021/acs.orglett.5c02270 --dataDOI "10.1021/acs.orglett.5c02270https://acs.figshare.com/articles/dataset/Image-Based_Machine_Learning_Using_Inkjet-Printed_Chemicals_Mixing_Ratio_Prediction_and_Metal_Ion_Detection/29553077"</v>
      </c>
      <c r="Z286" t="str">
        <f t="shared" si="66"/>
        <v>&lt;br&gt;&lt;a href="https://doi.org/10.1021/acs.orglett.5c02270.s002"&gt;https://doi.org/10.1021/acs.orglett.5c02270.s002&lt;/a&gt;</v>
      </c>
      <c r="AA286" t="str">
        <f t="shared" si="67"/>
        <v/>
      </c>
    </row>
    <row r="287" spans="1:27" x14ac:dyDescent="0.35">
      <c r="A287">
        <v>286</v>
      </c>
      <c r="B287" s="5" t="str">
        <f t="shared" si="56"/>
        <v>ol5c02284</v>
      </c>
      <c r="C287" s="1" t="str">
        <f t="shared" si="57"/>
        <v>#ol5c02284 sequence</v>
      </c>
      <c r="D287" t="str">
        <f>IF(F287=1,"",IF(AND(D286="",S286=S287),"",S287-SUM(F$2:F286)))</f>
        <v/>
      </c>
      <c r="E287" t="str">
        <f t="shared" si="58"/>
        <v>0</v>
      </c>
      <c r="F287">
        <v>1</v>
      </c>
      <c r="G287" t="s">
        <v>1100</v>
      </c>
      <c r="M287" t="str">
        <f t="shared" si="59"/>
        <v/>
      </c>
      <c r="N287" t="e">
        <f t="shared" si="60"/>
        <v>#N/A</v>
      </c>
      <c r="O287" t="b">
        <f t="shared" si="61"/>
        <v>0</v>
      </c>
      <c r="P287" s="13" t="s">
        <v>546</v>
      </c>
      <c r="Q287" s="13" t="s">
        <v>547</v>
      </c>
      <c r="R287" t="str">
        <f t="shared" si="62"/>
        <v>001</v>
      </c>
      <c r="S287">
        <f t="shared" si="68"/>
        <v>207</v>
      </c>
      <c r="T287" s="13" t="str">
        <f>VLOOKUP(Q287,original!B:C,2,FALSE)</f>
        <v>Fungal Sulfotransferase from Metarhizium majus Catalyzes the Formation of PPZ Pathway Intermediate Peramine-8‑O‑sulfate</v>
      </c>
      <c r="U287" s="13" t="s">
        <v>548</v>
      </c>
      <c r="V287" t="str">
        <f t="shared" si="63"/>
        <v>ol5c02284</v>
      </c>
      <c r="W287" t="str">
        <f t="shared" si="64"/>
        <v>ol5c02284_si_001.zip</v>
      </c>
      <c r="X287" t="str">
        <f t="shared" si="65"/>
        <v>https://acs.figshare.com/articles/dataset/Fungal_Sulfotransferase_from_i_Metarhizium_majus_i_Catalyzes_the_Formation_of_i_PPZ_i_Pathway_Intermediate_Peramine-8_i_O_i_sulfate/29410327</v>
      </c>
      <c r="Y287" s="1" t="str">
        <f t="shared" si="69"/>
        <v>--localSource c:/temp/acs2/data --targetDir c:/temp/acs2/$DOI$ --noDownload --readOnly  --pubDOI https://doi.org/10.1021/acs.orglett.5c02284 --dataDOI "10.1021/acs.orglett.5c02284https://acs.figshare.com/articles/dataset/Fungal_Sulfotransferase_from_i_Metarhizium_majus_i_Catalyzes_the_Formation_of_i_PPZ_i_Pathway_Intermediate_Peramine-8_i_O_i_sulfate/29410327"</v>
      </c>
      <c r="Z287" t="str">
        <f t="shared" si="66"/>
        <v>&lt;br&gt;&lt;a href="https://doi.org/10.1021/acs.orglett.5c02284.s001"&gt;https://doi.org/10.1021/acs.orglett.5c02284.s001&lt;/a&gt;</v>
      </c>
      <c r="AA287" t="str">
        <f t="shared" si="67"/>
        <v/>
      </c>
    </row>
    <row r="288" spans="1:27" x14ac:dyDescent="0.35">
      <c r="A288">
        <v>287</v>
      </c>
      <c r="B288" s="5" t="str">
        <f t="shared" si="56"/>
        <v>ol5c02286</v>
      </c>
      <c r="C288" s="1" t="str">
        <f t="shared" si="57"/>
        <v>ol5c02286</v>
      </c>
      <c r="D288">
        <f>IF(F288=1,"",IF(AND(D287="",S287=S288),"",S288-SUM(F$2:F287)))</f>
        <v>155</v>
      </c>
      <c r="E288" t="str">
        <f t="shared" si="58"/>
        <v>0</v>
      </c>
      <c r="F288">
        <v>0</v>
      </c>
      <c r="H288">
        <v>22</v>
      </c>
      <c r="I288">
        <v>46</v>
      </c>
      <c r="J288">
        <v>22</v>
      </c>
      <c r="M288" t="str">
        <f t="shared" si="59"/>
        <v>/*155 ol5c02286 */"https://doi.org/10.1021/acs.orglett.5c02286.s002",//Rh(III)-Catalyzed Atroposelective C–H Cyanation of 1‑Aryl benzo[h]isoquinolines</v>
      </c>
      <c r="N288" t="e">
        <f t="shared" si="60"/>
        <v>#N/A</v>
      </c>
      <c r="O288" t="b">
        <f t="shared" si="61"/>
        <v>0</v>
      </c>
      <c r="P288" s="13" t="s">
        <v>458</v>
      </c>
      <c r="Q288" s="13" t="s">
        <v>459</v>
      </c>
      <c r="R288" t="str">
        <f t="shared" si="62"/>
        <v>002</v>
      </c>
      <c r="S288">
        <f t="shared" si="68"/>
        <v>208</v>
      </c>
      <c r="T288" s="13" t="str">
        <f>VLOOKUP(Q288,original!B:C,2,FALSE)</f>
        <v>Rh(III)-Catalyzed Atroposelective C–H Cyanation of 1‑Aryl benzo[h]isoquinolines</v>
      </c>
      <c r="U288" s="13" t="s">
        <v>460</v>
      </c>
      <c r="V288" t="str">
        <f t="shared" si="63"/>
        <v>ol5c02286</v>
      </c>
      <c r="W288" t="str">
        <f t="shared" si="64"/>
        <v>ol5c02286_si_002.zip</v>
      </c>
      <c r="X288" t="str">
        <f t="shared" si="65"/>
        <v>https://acs.figshare.com/articles/dataset/Rh_III_-Catalyzed_Atroposelective_C_H_Cyanation_of_1_Aryl_benzo_i_h_i_isoquinolines/29634950</v>
      </c>
      <c r="Y288" s="1" t="str">
        <f t="shared" si="69"/>
        <v>--localSource c:/temp/acs2/data --targetDir c:/temp/acs2/$DOI$ --noDownload --readOnly  --pubDOI https://doi.org/10.1021/acs.orglett.5c02286 --dataDOI "10.1021/acs.orglett.5c02286https://acs.figshare.com/articles/dataset/Rh_III_-Catalyzed_Atroposelective_C_H_Cyanation_of_1_Aryl_benzo_i_h_i_isoquinolines/29634950"</v>
      </c>
      <c r="Z288" t="str">
        <f t="shared" si="66"/>
        <v>&lt;br&gt;&lt;a href="https://doi.org/10.1021/acs.orglett.5c02286.s002"&gt;https://doi.org/10.1021/acs.orglett.5c02286.s002&lt;/a&gt;</v>
      </c>
      <c r="AA288" t="str">
        <f t="shared" si="67"/>
        <v/>
      </c>
    </row>
    <row r="289" spans="1:27" x14ac:dyDescent="0.35">
      <c r="A289">
        <v>288</v>
      </c>
      <c r="B289" s="5" t="str">
        <f t="shared" si="56"/>
        <v>ol5c02366</v>
      </c>
      <c r="C289" s="1" t="str">
        <f t="shared" si="57"/>
        <v>ol5c02366</v>
      </c>
      <c r="D289">
        <f>IF(F289=1,"",IF(AND(D288="",S288=S289),"",S289-SUM(F$2:F288)))</f>
        <v>156</v>
      </c>
      <c r="E289" t="str">
        <f t="shared" si="58"/>
        <v>0</v>
      </c>
      <c r="F289">
        <v>0</v>
      </c>
      <c r="H289">
        <v>29</v>
      </c>
      <c r="I289">
        <v>83</v>
      </c>
      <c r="M289" t="str">
        <f t="shared" si="59"/>
        <v>/*156 ol5c02366 */"https://doi.org/10.1021/acs.orglett.5c02366.s002",//Ir(III)-Photocatalyzed Stereoselective Synthesis of 2‑Azadienes</v>
      </c>
      <c r="N289" t="e">
        <f t="shared" si="60"/>
        <v>#N/A</v>
      </c>
      <c r="O289" t="b">
        <f t="shared" si="61"/>
        <v>0</v>
      </c>
      <c r="P289" s="13" t="s">
        <v>489</v>
      </c>
      <c r="Q289" s="13" t="s">
        <v>490</v>
      </c>
      <c r="R289" t="str">
        <f t="shared" si="62"/>
        <v>002</v>
      </c>
      <c r="S289">
        <f t="shared" si="68"/>
        <v>209</v>
      </c>
      <c r="T289" s="13" t="str">
        <f>VLOOKUP(Q289,original!B:C,2,FALSE)</f>
        <v>Ir(III)-Photocatalyzed Stereoselective Synthesis of 2‑Azadienes</v>
      </c>
      <c r="U289" s="13" t="s">
        <v>491</v>
      </c>
      <c r="V289" t="str">
        <f t="shared" si="63"/>
        <v>ol5c02366</v>
      </c>
      <c r="W289" t="str">
        <f t="shared" si="64"/>
        <v>ol5c02366_si_002.zip</v>
      </c>
      <c r="X289" t="str">
        <f t="shared" si="65"/>
        <v>https://acs.figshare.com/articles/dataset/Ir_III_-Photocatalyzed_Stereoselective_Synthesis_of_2_Azadienes/29538040</v>
      </c>
      <c r="Y289" s="1" t="str">
        <f t="shared" si="69"/>
        <v>--localSource c:/temp/acs2/data --targetDir c:/temp/acs2/$DOI$ --noDownload --readOnly  --pubDOI https://doi.org/10.1021/acs.orglett.5c02366 --dataDOI "10.1021/acs.orglett.5c02366https://acs.figshare.com/articles/dataset/Ir_III_-Photocatalyzed_Stereoselective_Synthesis_of_2_Azadienes/29538040"</v>
      </c>
      <c r="Z289" t="str">
        <f t="shared" si="66"/>
        <v>&lt;br&gt;&lt;a href="https://doi.org/10.1021/acs.orglett.5c02366.s002"&gt;https://doi.org/10.1021/acs.orglett.5c02366.s002&lt;/a&gt;</v>
      </c>
      <c r="AA289" t="str">
        <f t="shared" si="67"/>
        <v/>
      </c>
    </row>
    <row r="290" spans="1:27" x14ac:dyDescent="0.35">
      <c r="A290">
        <v>289</v>
      </c>
      <c r="B290" s="5" t="str">
        <f t="shared" si="56"/>
        <v>ol5c02373</v>
      </c>
      <c r="C290" s="1" t="str">
        <f t="shared" si="57"/>
        <v>ol5c02373</v>
      </c>
      <c r="D290">
        <f>IF(F290=1,"",IF(AND(D289="",S289=S290),"",S290-SUM(F$2:F289)))</f>
        <v>157</v>
      </c>
      <c r="E290" t="str">
        <f t="shared" si="58"/>
        <v>0</v>
      </c>
      <c r="F290">
        <v>0</v>
      </c>
      <c r="H290">
        <v>44</v>
      </c>
      <c r="I290">
        <v>83</v>
      </c>
      <c r="M290" t="str">
        <f t="shared" si="59"/>
        <v>/*157 ol5c02373 */"https://doi.org/10.1021/acs.orglett.5c02373.s001",//Copper-Catalyzed Enantioselective Acylcyanation of Alkenes</v>
      </c>
      <c r="N290" t="e">
        <f t="shared" si="60"/>
        <v>#N/A</v>
      </c>
      <c r="O290" t="b">
        <f t="shared" si="61"/>
        <v>0</v>
      </c>
      <c r="P290" s="13" t="s">
        <v>454</v>
      </c>
      <c r="Q290" s="13" t="s">
        <v>455</v>
      </c>
      <c r="R290" t="str">
        <f t="shared" si="62"/>
        <v>001</v>
      </c>
      <c r="S290">
        <f t="shared" si="68"/>
        <v>210</v>
      </c>
      <c r="T290" s="13" t="str">
        <f>VLOOKUP(Q290,original!B:C,2,FALSE)</f>
        <v>Copper-Catalyzed Enantioselective Acylcyanation of Alkenes</v>
      </c>
      <c r="U290" s="13" t="s">
        <v>457</v>
      </c>
      <c r="V290" t="str">
        <f t="shared" si="63"/>
        <v>ol5c02373</v>
      </c>
      <c r="W290" t="str">
        <f t="shared" si="64"/>
        <v>ol5c02373_si_001.zip</v>
      </c>
      <c r="X290" t="str">
        <f t="shared" si="65"/>
        <v>https://acs.figshare.com/articles/dataset/Copper-Catalyzed_Enantioselective_Acylcyanation_of_Alkenes/29637504</v>
      </c>
      <c r="Y290" s="1" t="str">
        <f t="shared" si="69"/>
        <v>--localSource c:/temp/acs2/data --targetDir c:/temp/acs2/$DOI$ --noDownload --readOnly  --pubDOI https://doi.org/10.1021/acs.orglett.5c02373 --dataDOI "10.1021/acs.orglett.5c02373https://acs.figshare.com/articles/dataset/Copper-Catalyzed_Enantioselective_Acylcyanation_of_Alkenes/29637504"</v>
      </c>
      <c r="Z290" t="str">
        <f t="shared" si="66"/>
        <v>&lt;br&gt;&lt;a href="https://doi.org/10.1021/acs.orglett.5c02373.s001"&gt;https://doi.org/10.1021/acs.orglett.5c02373.s001&lt;/a&gt;</v>
      </c>
      <c r="AA290" t="str">
        <f t="shared" si="67"/>
        <v/>
      </c>
    </row>
    <row r="291" spans="1:27" x14ac:dyDescent="0.35">
      <c r="A291">
        <v>290</v>
      </c>
      <c r="B291" s="5" t="str">
        <f t="shared" si="56"/>
        <v>ol5c02414</v>
      </c>
      <c r="C291" s="1" t="str">
        <f t="shared" si="57"/>
        <v>#ol5c02414 XLS</v>
      </c>
      <c r="D291" t="str">
        <f>IF(F291=1,"",IF(AND(D290="",S290=S291),"",S291-SUM(F$2:F290)))</f>
        <v/>
      </c>
      <c r="E291" t="str">
        <f t="shared" si="58"/>
        <v>0</v>
      </c>
      <c r="F291">
        <v>1</v>
      </c>
      <c r="G291" t="s">
        <v>1060</v>
      </c>
      <c r="M291" t="str">
        <f t="shared" si="59"/>
        <v/>
      </c>
      <c r="N291" t="str">
        <f t="shared" si="60"/>
        <v>ol5c02414_si_002.xyz</v>
      </c>
      <c r="O291" t="b">
        <f t="shared" si="61"/>
        <v>1</v>
      </c>
      <c r="P291" s="13" t="s">
        <v>386</v>
      </c>
      <c r="Q291" s="13" t="s">
        <v>387</v>
      </c>
      <c r="R291" t="str">
        <f t="shared" si="62"/>
        <v>002</v>
      </c>
      <c r="S291">
        <f t="shared" si="68"/>
        <v>211</v>
      </c>
      <c r="T291" s="13" t="str">
        <f>VLOOKUP(Q291,original!B:C,2,FALSE)</f>
        <v>Structural Expansion of Dibenzo[b,d]thiophene Sulfone through Functionalization at Bay Positions</v>
      </c>
      <c r="U291" s="13" t="s">
        <v>389</v>
      </c>
      <c r="V291" t="str">
        <f t="shared" si="63"/>
        <v>ol5c02414</v>
      </c>
      <c r="W291" t="str">
        <f t="shared" si="64"/>
        <v>ol5c02414_si_002.zip</v>
      </c>
      <c r="X291" t="str">
        <f t="shared" si="65"/>
        <v>https://acs.figshare.com/articles/dataset/Structural_Expansion_of_Dibenzo_i_b_i_i_d_i_thiophene_Sulfone_through_Functionalization_at_Bay_Positions/29897702</v>
      </c>
      <c r="Y291" s="1" t="str">
        <f t="shared" si="69"/>
        <v>--localSource c:/temp/acs2/data --targetDir c:/temp/acs2/$DOI$ --noDownload --readOnly  --pubDOI https://doi.org/10.1021/acs.orglett.5c02414 --dataDOI "10.1021/acs.orglett.5c02414https://acs.figshare.com/articles/dataset/Structural_Expansion_of_Dibenzo_i_b_i_i_d_i_thiophene_Sulfone_through_Functionalization_at_Bay_Positions/29897702"</v>
      </c>
      <c r="Z291" t="str">
        <f t="shared" si="66"/>
        <v>&lt;br&gt;&lt;a href="https://doi.org/10.1021/acs.orglett.5c02414.s002"&gt;https://doi.org/10.1021/acs.orglett.5c02414.s002&lt;/a&gt;</v>
      </c>
      <c r="AA291" t="str">
        <f t="shared" si="67"/>
        <v/>
      </c>
    </row>
    <row r="292" spans="1:27" x14ac:dyDescent="0.35">
      <c r="A292">
        <v>291</v>
      </c>
      <c r="B292" s="5" t="str">
        <f t="shared" si="56"/>
        <v>ol5c02418</v>
      </c>
      <c r="C292" s="1" t="str">
        <f t="shared" si="57"/>
        <v>ol5c02418</v>
      </c>
      <c r="D292">
        <f>IF(F292=1,"",IF(AND(D291="",S291=S292),"",S292-SUM(F$2:F291)))</f>
        <v>158</v>
      </c>
      <c r="E292" t="str">
        <f t="shared" si="58"/>
        <v>0</v>
      </c>
      <c r="F292">
        <v>0</v>
      </c>
      <c r="H292">
        <v>106</v>
      </c>
      <c r="I292">
        <v>207</v>
      </c>
      <c r="M292" t="str">
        <f t="shared" si="59"/>
        <v>/*158 ol5c02418 */"https://doi.org/10.1021/acs.orglett.5c02418.s001",//Inherent Weakly Coordinating Oxo-Group-Directed Ruthenium(II)-Catalyzed C5 Functionalization of 2‑Arylquinolin-4(1H)‑ones</v>
      </c>
      <c r="N292" t="e">
        <f t="shared" si="60"/>
        <v>#N/A</v>
      </c>
      <c r="O292" t="b">
        <f t="shared" si="61"/>
        <v>0</v>
      </c>
      <c r="P292" s="13" t="s">
        <v>404</v>
      </c>
      <c r="Q292" s="13" t="s">
        <v>405</v>
      </c>
      <c r="R292" t="str">
        <f t="shared" si="62"/>
        <v>001</v>
      </c>
      <c r="S292">
        <f t="shared" si="68"/>
        <v>212</v>
      </c>
      <c r="T292" s="13" t="str">
        <f>VLOOKUP(Q292,original!B:C,2,FALSE)</f>
        <v>Inherent Weakly Coordinating Oxo-Group-Directed Ruthenium(II)-Catalyzed C5 Functionalization of 2‑Arylquinolin-4(1H)‑ones</v>
      </c>
      <c r="U292" s="13" t="s">
        <v>406</v>
      </c>
      <c r="V292" t="str">
        <f t="shared" si="63"/>
        <v>ol5c02418</v>
      </c>
      <c r="W292" t="str">
        <f t="shared" si="64"/>
        <v>ol5c02418_si_001.zip</v>
      </c>
      <c r="X292" t="str">
        <f t="shared" si="65"/>
        <v>https://acs.figshare.com/articles/dataset/Inherent_Weakly_Coordinating_Oxo-Group-Directed_Ruthenium_II_-Catalyzed_C5_Functionalization_of_2_Arylquinolin-4_1_i_H_i_ones/29828882</v>
      </c>
      <c r="Y292" s="1" t="str">
        <f t="shared" si="69"/>
        <v>--localSource c:/temp/acs2/data --targetDir c:/temp/acs2/$DOI$ --noDownload --readOnly  --pubDOI https://doi.org/10.1021/acs.orglett.5c02418 --dataDOI "10.1021/acs.orglett.5c02418https://acs.figshare.com/articles/dataset/Inherent_Weakly_Coordinating_Oxo-Group-Directed_Ruthenium_II_-Catalyzed_C5_Functionalization_of_2_Arylquinolin-4_1_i_H_i_ones/29828882"</v>
      </c>
      <c r="Z292" t="str">
        <f t="shared" si="66"/>
        <v>&lt;br&gt;&lt;a href="https://doi.org/10.1021/acs.orglett.5c02418.s001"&gt;https://doi.org/10.1021/acs.orglett.5c02418.s001&lt;/a&gt;</v>
      </c>
      <c r="AA292" t="str">
        <f t="shared" si="67"/>
        <v/>
      </c>
    </row>
    <row r="293" spans="1:27" x14ac:dyDescent="0.35">
      <c r="A293">
        <v>292</v>
      </c>
      <c r="B293" s="5" t="str">
        <f t="shared" si="56"/>
        <v>ol5c02448</v>
      </c>
      <c r="C293" s="1" t="str">
        <f t="shared" si="57"/>
        <v>ol5c02448</v>
      </c>
      <c r="D293">
        <f>IF(F293=1,"",IF(AND(D292="",S292=S293),"",S293-SUM(F$2:F292)))</f>
        <v>159</v>
      </c>
      <c r="E293" t="str">
        <f t="shared" si="58"/>
        <v>0</v>
      </c>
      <c r="F293">
        <v>0</v>
      </c>
      <c r="H293">
        <v>101</v>
      </c>
      <c r="I293">
        <v>155</v>
      </c>
      <c r="M293" t="str">
        <f t="shared" si="59"/>
        <v>/*159 ol5c02448 */"https://doi.org/10.1021/acs.orglett.5c02448.s001",//Irradiation of Bifunctional Masked Ketone Pro-Aromatics Unveils Autoinductive Autocatalysis via Electron Donor–Acceptor (EDA) Complexes</v>
      </c>
      <c r="N293" t="e">
        <f t="shared" si="60"/>
        <v>#N/A</v>
      </c>
      <c r="O293" t="b">
        <f t="shared" si="61"/>
        <v>0</v>
      </c>
      <c r="P293" s="13" t="s">
        <v>343</v>
      </c>
      <c r="Q293" s="13" t="s">
        <v>344</v>
      </c>
      <c r="R293" t="str">
        <f t="shared" si="62"/>
        <v>001</v>
      </c>
      <c r="S293">
        <f t="shared" si="68"/>
        <v>213</v>
      </c>
      <c r="T293" s="13" t="str">
        <f>VLOOKUP(Q293,original!B:C,2,FALSE)</f>
        <v>Irradiation of Bifunctional Masked Ketone Pro-Aromatics Unveils Autoinductive Autocatalysis via Electron Donor–Acceptor (EDA) Complexes</v>
      </c>
      <c r="U293" s="13" t="s">
        <v>345</v>
      </c>
      <c r="V293" t="str">
        <f t="shared" si="63"/>
        <v>ol5c02448</v>
      </c>
      <c r="W293" t="str">
        <f t="shared" si="64"/>
        <v>ol5c02448_si_001.zip</v>
      </c>
      <c r="X293" t="str">
        <f t="shared" si="65"/>
        <v>https://acs.figshare.com/articles/dataset/Irradiation_of_Bifunctional_Masked_Ketone_Pro-Aromatics_Unveils_Autoinductive_Autocatalysis_via_Electron_Donor_Acceptor_EDA_Complexes/29984381</v>
      </c>
      <c r="Y293" s="1" t="str">
        <f t="shared" si="69"/>
        <v>--localSource c:/temp/acs2/data --targetDir c:/temp/acs2/$DOI$ --noDownload --readOnly  --pubDOI https://doi.org/10.1021/acs.orglett.5c02448 --dataDOI "10.1021/acs.orglett.5c02448https://acs.figshare.com/articles/dataset/Irradiation_of_Bifunctional_Masked_Ketone_Pro-Aromatics_Unveils_Autoinductive_Autocatalysis_via_Electron_Donor_Acceptor_EDA_Complexes/29984381"</v>
      </c>
      <c r="Z293" t="str">
        <f t="shared" si="66"/>
        <v>&lt;br&gt;&lt;a href="https://doi.org/10.1021/acs.orglett.5c02448.s001"&gt;https://doi.org/10.1021/acs.orglett.5c02448.s001&lt;/a&gt;</v>
      </c>
      <c r="AA293" t="str">
        <f t="shared" si="67"/>
        <v/>
      </c>
    </row>
    <row r="294" spans="1:27" x14ac:dyDescent="0.35">
      <c r="A294">
        <v>293</v>
      </c>
      <c r="B294" s="5" t="str">
        <f t="shared" si="56"/>
        <v>ol5c02494</v>
      </c>
      <c r="C294" s="1" t="str">
        <f t="shared" si="57"/>
        <v>ol5c02494</v>
      </c>
      <c r="D294">
        <f>IF(F294=1,"",IF(AND(D293="",S293=S294),"",S294-SUM(F$2:F293)))</f>
        <v>160</v>
      </c>
      <c r="E294" t="str">
        <f t="shared" si="58"/>
        <v>0</v>
      </c>
      <c r="F294">
        <v>0</v>
      </c>
      <c r="H294">
        <v>56</v>
      </c>
      <c r="I294">
        <v>120</v>
      </c>
      <c r="M294" t="str">
        <f t="shared" si="59"/>
        <v>/*160 ol5c02494 */"https://doi.org/10.1021/acs.orglett.5c02494.s001",//HFIP-Assisted Denitrogenative Radical Fragmentation Pathway of Areneazo-2-(2-nitro)propanes: Cross-Coupling of Aryl Radicals with Alkynes and Coupling Reagents</v>
      </c>
      <c r="N294" t="e">
        <f t="shared" si="60"/>
        <v>#N/A</v>
      </c>
      <c r="O294" t="b">
        <f t="shared" si="61"/>
        <v>0</v>
      </c>
      <c r="P294" s="13" t="s">
        <v>443</v>
      </c>
      <c r="Q294" s="13" t="s">
        <v>444</v>
      </c>
      <c r="R294" t="str">
        <f t="shared" si="62"/>
        <v>001</v>
      </c>
      <c r="S294">
        <f t="shared" si="68"/>
        <v>214</v>
      </c>
      <c r="T294" s="13" t="str">
        <f>VLOOKUP(Q294,original!B:C,2,FALSE)</f>
        <v>HFIP-Assisted Denitrogenative Radical Fragmentation Pathway of Areneazo-2-(2-nitro)propanes: Cross-Coupling of Aryl Radicals with Alkynes and Coupling Reagents</v>
      </c>
      <c r="U294" s="13" t="s">
        <v>446</v>
      </c>
      <c r="V294" t="str">
        <f t="shared" si="63"/>
        <v>ol5c02494</v>
      </c>
      <c r="W294" t="str">
        <f t="shared" si="64"/>
        <v>ol5c02494_si_001.zip</v>
      </c>
      <c r="X294" t="str">
        <f t="shared" si="65"/>
        <v>https://acs.figshare.com/articles/dataset/HFIP-Assisted_Denitrogenative_Radical_Fragmentation_Pathway_of_Areneazo-2-_2-nitro_propanes_Cross-Coupling_of_Aryl_Radicals_with_Alkynes_and_Coupling_Reagents/29648038</v>
      </c>
      <c r="Y294" s="1" t="str">
        <f t="shared" si="69"/>
        <v>--localSource c:/temp/acs2/data --targetDir c:/temp/acs2/$DOI$ --noDownload --readOnly  --pubDOI https://doi.org/10.1021/acs.orglett.5c02494 --dataDOI "10.1021/acs.orglett.5c02494https://acs.figshare.com/articles/dataset/HFIP-Assisted_Denitrogenative_Radical_Fragmentation_Pathway_of_Areneazo-2-_2-nitro_propanes_Cross-Coupling_of_Aryl_Radicals_with_Alkynes_and_Coupling_Reagents/29648038"</v>
      </c>
      <c r="Z294" t="str">
        <f t="shared" si="66"/>
        <v>&lt;br&gt;&lt;a href="https://doi.org/10.1021/acs.orglett.5c02494.s001"&gt;https://doi.org/10.1021/acs.orglett.5c02494.s001&lt;/a&gt;</v>
      </c>
      <c r="AA294" t="str">
        <f t="shared" si="67"/>
        <v/>
      </c>
    </row>
    <row r="295" spans="1:27" x14ac:dyDescent="0.35">
      <c r="A295">
        <v>294</v>
      </c>
      <c r="B295" s="5" t="str">
        <f t="shared" si="56"/>
        <v>ol5c02495</v>
      </c>
      <c r="C295" s="1" t="str">
        <f t="shared" si="57"/>
        <v>#ol5c02495 NMR-pdb only</v>
      </c>
      <c r="D295" t="str">
        <f>IF(F295=1,"",IF(AND(D294="",S294=S295),"",S295-SUM(F$2:F294)))</f>
        <v/>
      </c>
      <c r="E295" t="str">
        <f t="shared" si="58"/>
        <v>0</v>
      </c>
      <c r="F295">
        <v>1</v>
      </c>
      <c r="G295" t="s">
        <v>2285</v>
      </c>
      <c r="H295">
        <v>0</v>
      </c>
      <c r="I295">
        <v>0</v>
      </c>
      <c r="M295" t="str">
        <f t="shared" si="59"/>
        <v/>
      </c>
      <c r="N295" t="e">
        <f t="shared" si="60"/>
        <v>#N/A</v>
      </c>
      <c r="O295" t="b">
        <f t="shared" si="61"/>
        <v>0</v>
      </c>
      <c r="P295" s="13" t="s">
        <v>436</v>
      </c>
      <c r="Q295" s="13" t="s">
        <v>437</v>
      </c>
      <c r="R295" t="str">
        <f t="shared" si="62"/>
        <v>001</v>
      </c>
      <c r="S295">
        <f t="shared" si="68"/>
        <v>215</v>
      </c>
      <c r="T295" s="13" t="str">
        <f>VLOOKUP(Q295,original!B:C,2,FALSE)</f>
        <v>Stereoelectronic Tuning of Heteroaromatic γ‑Amino Acids for Turn Mimetic Design</v>
      </c>
      <c r="U295" s="13" t="s">
        <v>438</v>
      </c>
      <c r="V295" t="str">
        <f t="shared" si="63"/>
        <v>ol5c02495</v>
      </c>
      <c r="W295" t="str">
        <f t="shared" si="64"/>
        <v>ol5c02495_si_001.zip</v>
      </c>
      <c r="X295" t="str">
        <f t="shared" si="65"/>
        <v>https://acs.figshare.com/articles/dataset/Stereoelectronic_Tuning_of_Heteroaromatic_Amino_Acids_for_Turn_Mimetic_Design/29654346</v>
      </c>
      <c r="Y295" s="1" t="str">
        <f t="shared" si="69"/>
        <v>--localSource c:/temp/acs2/data --targetDir c:/temp/acs2/$DOI$ --noDownload --readOnly  --pubDOI https://doi.org/10.1021/acs.orglett.5c02495 --dataDOI "10.1021/acs.orglett.5c02495https://acs.figshare.com/articles/dataset/Stereoelectronic_Tuning_of_Heteroaromatic_Amino_Acids_for_Turn_Mimetic_Design/29654346"</v>
      </c>
      <c r="Z295" t="str">
        <f t="shared" si="66"/>
        <v>&lt;br&gt;&lt;a href="https://doi.org/10.1021/acs.orglett.5c02495.s001"&gt;https://doi.org/10.1021/acs.orglett.5c02495.s001&lt;/a&gt;</v>
      </c>
      <c r="AA295" t="str">
        <f t="shared" si="67"/>
        <v/>
      </c>
    </row>
    <row r="296" spans="1:27" x14ac:dyDescent="0.35">
      <c r="A296">
        <v>295</v>
      </c>
      <c r="B296" s="5" t="str">
        <f t="shared" si="56"/>
        <v>ol5c02499</v>
      </c>
      <c r="C296" s="1" t="str">
        <f t="shared" si="57"/>
        <v>#ol5c02499 xyz only</v>
      </c>
      <c r="D296" t="str">
        <f>IF(F296=1,"",IF(AND(D295="",S295=S296),"",S296-SUM(F$2:F295)))</f>
        <v/>
      </c>
      <c r="E296" t="str">
        <f t="shared" si="58"/>
        <v>0</v>
      </c>
      <c r="F296">
        <v>1</v>
      </c>
      <c r="G296" t="s">
        <v>2253</v>
      </c>
      <c r="H296">
        <v>0</v>
      </c>
      <c r="I296">
        <v>0</v>
      </c>
      <c r="M296" t="str">
        <f t="shared" si="59"/>
        <v/>
      </c>
      <c r="N296" t="e">
        <f t="shared" si="60"/>
        <v>#N/A</v>
      </c>
      <c r="O296" t="b">
        <f t="shared" si="61"/>
        <v>0</v>
      </c>
      <c r="P296" s="13" t="s">
        <v>439</v>
      </c>
      <c r="Q296" s="13" t="s">
        <v>440</v>
      </c>
      <c r="R296" t="str">
        <f t="shared" si="62"/>
        <v>001</v>
      </c>
      <c r="S296">
        <f t="shared" si="68"/>
        <v>216</v>
      </c>
      <c r="T296" s="13" t="str">
        <f>VLOOKUP(Q296,original!B:C,2,FALSE)</f>
        <v>Subtle Strain-Release-Driven Aroylation of Four-Membered Rings via Decarboxylative Giese-Type Reactions</v>
      </c>
      <c r="U296" s="13" t="s">
        <v>442</v>
      </c>
      <c r="V296" t="str">
        <f t="shared" si="63"/>
        <v>ol5c02499</v>
      </c>
      <c r="W296" t="str">
        <f t="shared" si="64"/>
        <v>ol5c02499_si_001.zip</v>
      </c>
      <c r="X296" t="str">
        <f t="shared" si="65"/>
        <v>https://acs.figshare.com/articles/dataset/Subtle_Strain-Release-Driven_Aroylation_of_Four-Membered_Rings_via_Decarboxylative_Giese-Type_Reactions/29651623</v>
      </c>
      <c r="Y296" s="1" t="str">
        <f t="shared" si="69"/>
        <v>--localSource c:/temp/acs2/data --targetDir c:/temp/acs2/$DOI$ --noDownload --readOnly  --pubDOI https://doi.org/10.1021/acs.orglett.5c02499 --dataDOI "10.1021/acs.orglett.5c02499https://acs.figshare.com/articles/dataset/Subtle_Strain-Release-Driven_Aroylation_of_Four-Membered_Rings_via_Decarboxylative_Giese-Type_Reactions/29651623"</v>
      </c>
      <c r="Z296" t="str">
        <f t="shared" si="66"/>
        <v>&lt;br&gt;&lt;a href="https://doi.org/10.1021/acs.orglett.5c02499.s001"&gt;https://doi.org/10.1021/acs.orglett.5c02499.s001&lt;/a&gt;</v>
      </c>
      <c r="AA296" t="str">
        <f t="shared" si="67"/>
        <v/>
      </c>
    </row>
    <row r="297" spans="1:27" x14ac:dyDescent="0.35">
      <c r="A297">
        <v>296</v>
      </c>
      <c r="B297" s="5" t="str">
        <f t="shared" si="56"/>
        <v>ol5c02536</v>
      </c>
      <c r="C297" s="1" t="str">
        <f t="shared" si="57"/>
        <v>ol5c02536</v>
      </c>
      <c r="D297">
        <f>IF(F297=1,"",IF(AND(D296="",S296=S297),"",S297-SUM(F$2:F296)))</f>
        <v>161</v>
      </c>
      <c r="E297" t="str">
        <f t="shared" si="58"/>
        <v>0</v>
      </c>
      <c r="F297">
        <v>0</v>
      </c>
      <c r="H297">
        <v>0</v>
      </c>
      <c r="I297">
        <v>0</v>
      </c>
      <c r="M297" t="str">
        <f t="shared" si="59"/>
        <v>/*161 ol5c02536 */"https://doi.org/10.1021/acs.orglett.5c02536.s001",//Nickel-Catalyzed Selective Monoamination of 1,2-Diols: An Affordable Approach to Amino Alcohols</v>
      </c>
      <c r="N297" t="e">
        <f t="shared" si="60"/>
        <v>#N/A</v>
      </c>
      <c r="O297" t="b">
        <f t="shared" si="61"/>
        <v>0</v>
      </c>
      <c r="P297" s="13" t="s">
        <v>363</v>
      </c>
      <c r="Q297" s="13" t="s">
        <v>364</v>
      </c>
      <c r="R297" t="str">
        <f t="shared" si="62"/>
        <v>001</v>
      </c>
      <c r="S297">
        <f t="shared" si="68"/>
        <v>217</v>
      </c>
      <c r="T297" s="13" t="str">
        <f>VLOOKUP(Q297,original!B:C,2,FALSE)</f>
        <v>Nickel-Catalyzed Selective Monoamination of 1,2-Diols: An Affordable Approach to Amino Alcohols</v>
      </c>
      <c r="U297" s="13" t="s">
        <v>366</v>
      </c>
      <c r="V297" t="str">
        <f t="shared" si="63"/>
        <v>ol5c02536</v>
      </c>
      <c r="W297" t="str">
        <f t="shared" si="64"/>
        <v>ol5c02536_si_001.zip</v>
      </c>
      <c r="X297" t="str">
        <f t="shared" si="65"/>
        <v>https://acs.figshare.com/articles/dataset/Nickel-Catalyzed_Selective_Monoamination_of_1_2-Diols_An_Affordable_Approach_to_Amino_Alcohols/29964941</v>
      </c>
      <c r="Y297" s="1" t="str">
        <f t="shared" si="69"/>
        <v>--localSource c:/temp/acs2/data --targetDir c:/temp/acs2/$DOI$ --noDownload --readOnly  --pubDOI https://doi.org/10.1021/acs.orglett.5c02536 --dataDOI "10.1021/acs.orglett.5c02536https://acs.figshare.com/articles/dataset/Nickel-Catalyzed_Selective_Monoamination_of_1_2-Diols_An_Affordable_Approach_to_Amino_Alcohols/29964941"</v>
      </c>
      <c r="Z297" t="str">
        <f t="shared" si="66"/>
        <v>&lt;br&gt;&lt;a href="https://doi.org/10.1021/acs.orglett.5c02536.s001"&gt;https://doi.org/10.1021/acs.orglett.5c02536.s001&lt;/a&gt;</v>
      </c>
      <c r="AA297" t="str">
        <f t="shared" si="67"/>
        <v/>
      </c>
    </row>
    <row r="298" spans="1:27" x14ac:dyDescent="0.35">
      <c r="A298">
        <v>297</v>
      </c>
      <c r="B298" s="5" t="str">
        <f t="shared" si="56"/>
        <v>ol5c02559</v>
      </c>
      <c r="C298" s="1" t="str">
        <f t="shared" si="57"/>
        <v>#ol5c02559 fchk,log</v>
      </c>
      <c r="D298" t="str">
        <f>IF(F298=1,"",IF(AND(D297="",S297=S298),"",S298-SUM(F$2:F297)))</f>
        <v/>
      </c>
      <c r="E298" t="str">
        <f t="shared" si="58"/>
        <v>0</v>
      </c>
      <c r="F298">
        <v>1</v>
      </c>
      <c r="G298" t="s">
        <v>2298</v>
      </c>
      <c r="H298">
        <v>0</v>
      </c>
      <c r="I298">
        <v>0</v>
      </c>
      <c r="M298" t="str">
        <f t="shared" si="59"/>
        <v/>
      </c>
      <c r="N298" t="e">
        <f t="shared" si="60"/>
        <v>#N/A</v>
      </c>
      <c r="O298" t="b">
        <f t="shared" si="61"/>
        <v>0</v>
      </c>
      <c r="P298" s="13" t="s">
        <v>429</v>
      </c>
      <c r="Q298" s="13" t="s">
        <v>430</v>
      </c>
      <c r="R298" t="str">
        <f t="shared" si="62"/>
        <v>002</v>
      </c>
      <c r="S298">
        <f t="shared" si="68"/>
        <v>218</v>
      </c>
      <c r="T298" s="13" t="str">
        <f>VLOOKUP(Q298,original!B:C,2,FALSE)</f>
        <v>Benzo[b]furan Platforms for Tailorable Photochromic Molecules</v>
      </c>
      <c r="U298" s="13" t="s">
        <v>432</v>
      </c>
      <c r="V298" t="str">
        <f t="shared" si="63"/>
        <v>ol5c02559</v>
      </c>
      <c r="W298" t="str">
        <f t="shared" si="64"/>
        <v>ol5c02559_si_002.zip</v>
      </c>
      <c r="X298" t="str">
        <f t="shared" si="65"/>
        <v>https://acs.figshare.com/articles/dataset/Benzo_i_b_i_furan_Platforms_for_Tailorable_Photochromic_Molecules/29665581</v>
      </c>
      <c r="Y298" s="1" t="str">
        <f t="shared" si="69"/>
        <v>--localSource c:/temp/acs2/data --targetDir c:/temp/acs2/$DOI$ --noDownload --readOnly  --pubDOI https://doi.org/10.1021/acs.orglett.5c02559 --dataDOI "10.1021/acs.orglett.5c02559https://acs.figshare.com/articles/dataset/Benzo_i_b_i_furan_Platforms_for_Tailorable_Photochromic_Molecules/29665581"</v>
      </c>
      <c r="Z298" t="str">
        <f t="shared" si="66"/>
        <v>&lt;br&gt;&lt;a href="https://doi.org/10.1021/acs.orglett.5c02559.s002"&gt;https://doi.org/10.1021/acs.orglett.5c02559.s002&lt;/a&gt;</v>
      </c>
      <c r="AA298" t="str">
        <f t="shared" si="67"/>
        <v/>
      </c>
    </row>
    <row r="299" spans="1:27" x14ac:dyDescent="0.35">
      <c r="A299">
        <v>298</v>
      </c>
      <c r="B299" s="5" t="str">
        <f t="shared" si="56"/>
        <v>ol5c02563</v>
      </c>
      <c r="C299" s="1" t="str">
        <f t="shared" si="57"/>
        <v>ol5c02563</v>
      </c>
      <c r="D299">
        <f>IF(F299=1,"",IF(AND(D298="",S298=S299),"",S299-SUM(F$2:F298)))</f>
        <v>162</v>
      </c>
      <c r="E299" t="str">
        <f t="shared" si="58"/>
        <v>0</v>
      </c>
      <c r="F299">
        <v>0</v>
      </c>
      <c r="H299">
        <v>69</v>
      </c>
      <c r="I299">
        <v>69</v>
      </c>
      <c r="J299">
        <v>66</v>
      </c>
      <c r="M299" t="str">
        <f t="shared" si="59"/>
        <v>/*162 ol5c02563 */"https://doi.org/10.1021/acs.orglett.5c02563.s001",//Access to Tetrahydropyrido[1,2‑a]indol-6-one Derivatives via NHC-Catalyzed Radical Dearomatization of Indoles</v>
      </c>
      <c r="N299" t="e">
        <f t="shared" si="60"/>
        <v>#N/A</v>
      </c>
      <c r="O299" t="b">
        <f t="shared" si="61"/>
        <v>0</v>
      </c>
      <c r="P299" s="13" t="s">
        <v>407</v>
      </c>
      <c r="Q299" s="13" t="s">
        <v>408</v>
      </c>
      <c r="R299" t="str">
        <f t="shared" si="62"/>
        <v>001</v>
      </c>
      <c r="S299">
        <f t="shared" si="68"/>
        <v>219</v>
      </c>
      <c r="T299" s="13" t="str">
        <f>VLOOKUP(Q299,original!B:C,2,FALSE)</f>
        <v>Access to Tetrahydropyrido[1,2‑a]indol-6-one Derivatives via NHC-Catalyzed Radical Dearomatization of Indoles</v>
      </c>
      <c r="U299" s="13" t="s">
        <v>409</v>
      </c>
      <c r="V299" t="str">
        <f t="shared" si="63"/>
        <v>ol5c02563</v>
      </c>
      <c r="W299" t="str">
        <f t="shared" si="64"/>
        <v>ol5c02563_si_001.zip</v>
      </c>
      <c r="X299" t="str">
        <f t="shared" si="65"/>
        <v>https://acs.figshare.com/articles/dataset/Access_to_Tetrahydropyrido_1_2_i_a_i_indol-6-one_Derivatives_via_NHC-Catalyzed_Radical_Dearomatization_of_Indoles/29821441</v>
      </c>
      <c r="Y299" s="1" t="str">
        <f t="shared" si="69"/>
        <v>--localSource c:/temp/acs2/data --targetDir c:/temp/acs2/$DOI$ --noDownload --readOnly  --pubDOI https://doi.org/10.1021/acs.orglett.5c02563 --dataDOI "10.1021/acs.orglett.5c02563https://acs.figshare.com/articles/dataset/Access_to_Tetrahydropyrido_1_2_i_a_i_indol-6-one_Derivatives_via_NHC-Catalyzed_Radical_Dearomatization_of_Indoles/29821441"</v>
      </c>
      <c r="Z299" t="str">
        <f t="shared" si="66"/>
        <v>&lt;br&gt;&lt;a href="https://doi.org/10.1021/acs.orglett.5c02563.s001"&gt;https://doi.org/10.1021/acs.orglett.5c02563.s001&lt;/a&gt;</v>
      </c>
      <c r="AA299" t="str">
        <f t="shared" si="67"/>
        <v/>
      </c>
    </row>
    <row r="300" spans="1:27" x14ac:dyDescent="0.35">
      <c r="A300">
        <v>299</v>
      </c>
      <c r="B300" s="5" t="str">
        <f t="shared" si="56"/>
        <v>ol5c02624</v>
      </c>
      <c r="C300" s="1" t="str">
        <f t="shared" si="57"/>
        <v>#ol5c02624 xyz</v>
      </c>
      <c r="D300" t="str">
        <f>IF(F300=1,"",IF(AND(D299="",S299=S300),"",S300-SUM(F$2:F299)))</f>
        <v/>
      </c>
      <c r="E300" t="str">
        <f t="shared" si="58"/>
        <v>0</v>
      </c>
      <c r="F300">
        <v>1</v>
      </c>
      <c r="G300" t="s">
        <v>1097</v>
      </c>
      <c r="M300" t="str">
        <f t="shared" si="59"/>
        <v/>
      </c>
      <c r="N300" t="str">
        <f t="shared" si="60"/>
        <v>ol5c02624_si_001.xyz</v>
      </c>
      <c r="O300" t="b">
        <f t="shared" si="61"/>
        <v>1</v>
      </c>
      <c r="P300" s="13" t="s">
        <v>450</v>
      </c>
      <c r="Q300" s="13" t="s">
        <v>451</v>
      </c>
      <c r="R300" t="str">
        <f t="shared" si="62"/>
        <v>001</v>
      </c>
      <c r="S300">
        <f t="shared" si="68"/>
        <v>220</v>
      </c>
      <c r="T300" s="13" t="str">
        <f>VLOOKUP(Q300,original!B:C,2,FALSE)</f>
        <v>Synthesis of C62N Containing a Heptagon</v>
      </c>
      <c r="U300" s="13" t="s">
        <v>453</v>
      </c>
      <c r="V300" t="str">
        <f t="shared" si="63"/>
        <v>ol5c02624</v>
      </c>
      <c r="W300" t="str">
        <f t="shared" si="64"/>
        <v>ol5c02624_si_001.zip</v>
      </c>
      <c r="X300" t="str">
        <f t="shared" si="65"/>
        <v>https://acs.figshare.com/articles/dataset/Synthesis_of_C_sub_62_sub_N_Containing_a_Heptagon/29642485</v>
      </c>
      <c r="Y300" s="1" t="str">
        <f t="shared" si="69"/>
        <v>--localSource c:/temp/acs2/data --targetDir c:/temp/acs2/$DOI$ --noDownload --readOnly  --pubDOI https://doi.org/10.1021/acs.orglett.5c02624 --dataDOI "10.1021/acs.orglett.5c02624https://acs.figshare.com/articles/dataset/Synthesis_of_C_sub_62_sub_N_Containing_a_Heptagon/29642485"</v>
      </c>
      <c r="Z300" t="str">
        <f t="shared" si="66"/>
        <v>&lt;br&gt;&lt;a href="https://doi.org/10.1021/acs.orglett.5c02624.s001"&gt;https://doi.org/10.1021/acs.orglett.5c02624.s001&lt;/a&gt;</v>
      </c>
      <c r="AA300" t="str">
        <f t="shared" si="67"/>
        <v/>
      </c>
    </row>
    <row r="301" spans="1:27" x14ac:dyDescent="0.35">
      <c r="A301">
        <v>300</v>
      </c>
      <c r="B301" s="5" t="str">
        <f t="shared" si="56"/>
        <v>ol5c02636</v>
      </c>
      <c r="C301" s="1" t="str">
        <f t="shared" si="57"/>
        <v/>
      </c>
      <c r="D301">
        <f>IF(F301=1,"",IF(AND(D300="",S300=S301),"",S301-SUM(F$2:F300)))</f>
        <v>163</v>
      </c>
      <c r="E301" t="str">
        <f t="shared" si="58"/>
        <v>0</v>
      </c>
      <c r="F301">
        <v>0</v>
      </c>
      <c r="M301" t="str">
        <f t="shared" si="59"/>
        <v>/*163 ol5c02636 */"https://doi.org/10.1021/acs.orglett.5c02636.s001",//Iridium-Catalyzed Regio- and Enantioselective C7-Allylic Alkylation of 4‑Aminoindoles</v>
      </c>
      <c r="N301" t="e">
        <f t="shared" si="60"/>
        <v>#N/A</v>
      </c>
      <c r="O301" t="b">
        <f t="shared" si="61"/>
        <v>0</v>
      </c>
      <c r="P301" s="13" t="s">
        <v>417</v>
      </c>
      <c r="Q301" s="13" t="s">
        <v>418</v>
      </c>
      <c r="R301" t="str">
        <f t="shared" si="62"/>
        <v>001</v>
      </c>
      <c r="S301">
        <f t="shared" si="68"/>
        <v>221</v>
      </c>
      <c r="T301" s="13" t="str">
        <f>VLOOKUP(Q301,original!B:C,2,FALSE)</f>
        <v>Iridium-Catalyzed Regio- and Enantioselective C7-Allylic Alkylation of 4‑Aminoindoles</v>
      </c>
      <c r="U301" s="13" t="s">
        <v>416</v>
      </c>
      <c r="V301" t="str">
        <f t="shared" si="63"/>
        <v>ol5c02636</v>
      </c>
      <c r="W301" t="str">
        <f t="shared" si="64"/>
        <v>ol5c02636_si_001.zip</v>
      </c>
      <c r="X301" t="str">
        <f t="shared" si="65"/>
        <v>https://acs.figshare.com/articles/dataset/Iridium-Catalyzed_Regio-_and_Enantioselective_C7-Allylic_Alkylation_of_4_Aminoindoles/29752680</v>
      </c>
      <c r="Y301" s="1" t="str">
        <f t="shared" si="69"/>
        <v/>
      </c>
      <c r="Z301" t="str">
        <f t="shared" si="66"/>
        <v>&lt;br&gt;&lt;a href="https://doi.org/10.1021/acs.orglett.5c02636.s001"&gt;https://doi.org/10.1021/acs.orglett.5c02636.s001&lt;/a&gt;</v>
      </c>
      <c r="AA301" t="str">
        <f t="shared" si="67"/>
        <v/>
      </c>
    </row>
    <row r="302" spans="1:27" x14ac:dyDescent="0.35">
      <c r="A302">
        <v>301</v>
      </c>
      <c r="B302" s="5" t="str">
        <f t="shared" si="56"/>
        <v>ol5c02636</v>
      </c>
      <c r="C302" s="1" t="str">
        <f t="shared" si="57"/>
        <v>ol5c02636</v>
      </c>
      <c r="D302">
        <f>IF(F302=1,"",IF(AND(D301="",S301=S302),"",S302-SUM(F$2:F301)))</f>
        <v>163</v>
      </c>
      <c r="E302" t="str">
        <f t="shared" si="58"/>
        <v>1</v>
      </c>
      <c r="F302">
        <v>0</v>
      </c>
      <c r="H302">
        <v>1</v>
      </c>
      <c r="I302">
        <v>1</v>
      </c>
      <c r="M302" t="str">
        <f t="shared" si="59"/>
        <v>/*163 ol5c02636 */"https://doi.org/10.1021/acs.orglett.5c02636.s002",//Iridium-Catalyzed Regio- and Enantioselective C7-Allylic Alkylation of 4‑Aminoindoles</v>
      </c>
      <c r="N302" t="e">
        <f t="shared" si="60"/>
        <v>#N/A</v>
      </c>
      <c r="O302" t="b">
        <f t="shared" si="61"/>
        <v>0</v>
      </c>
      <c r="P302" s="13" t="s">
        <v>414</v>
      </c>
      <c r="Q302" s="13" t="s">
        <v>415</v>
      </c>
      <c r="R302" t="str">
        <f t="shared" si="62"/>
        <v>002</v>
      </c>
      <c r="S302">
        <f t="shared" si="68"/>
        <v>221</v>
      </c>
      <c r="T302" s="13" t="str">
        <f>VLOOKUP(Q302,original!B:C,2,FALSE)</f>
        <v>Iridium-Catalyzed Regio- and Enantioselective C7-Allylic Alkylation of 4‑Aminoindoles</v>
      </c>
      <c r="U302" s="13" t="s">
        <v>416</v>
      </c>
      <c r="V302" t="str">
        <f t="shared" si="63"/>
        <v>ol5c02636</v>
      </c>
      <c r="W302" t="str">
        <f t="shared" si="64"/>
        <v>ol5c02636_si_002.zip</v>
      </c>
      <c r="X302" t="str">
        <f t="shared" si="65"/>
        <v>https://acs.figshare.com/articles/dataset/Iridium-Catalyzed_Regio-_and_Enantioselective_C7-Allylic_Alkylation_of_4_Aminoindoles/29752680\thttps://acs.figshare.com/articles/dataset/Iridium-Catalyzed_Regio-_and_Enantioselective_C7-Allylic_Alkylation_of_4_Aminoindoles/29752683</v>
      </c>
      <c r="Y302" s="1" t="str">
        <f t="shared" si="69"/>
        <v>--localSource c:/temp/acs2/data --targetDir c:/temp/acs2/$DOI$ --noDownload --readOnly  --pubDOI https://doi.org/10.1021/acs.orglett.5c02636 --dataDOI "10.1021/acs.orglett.5c02636https://acs.figshare.com/articles/dataset/Iridium-Catalyzed_Regio-_and_Enantioselective_C7-Allylic_Alkylation_of_4_Aminoindoles/29752680\thttps://acs.figshare.com/articles/dataset/Iridium-Catalyzed_Regio-_and_Enantioselective_C7-Allylic_Alkylation_of_4_Aminoindoles/29752683"</v>
      </c>
      <c r="Z302" t="str">
        <f t="shared" si="66"/>
        <v>&lt;br&gt;&lt;a href="https://doi.org/10.1021/acs.orglett.5c02636.s002"&gt;https://doi.org/10.1021/acs.orglett.5c02636.s002&lt;/a&gt;</v>
      </c>
      <c r="AA302" t="str">
        <f t="shared" si="67"/>
        <v/>
      </c>
    </row>
    <row r="303" spans="1:27" x14ac:dyDescent="0.35">
      <c r="A303">
        <v>302</v>
      </c>
      <c r="B303" s="5" t="str">
        <f t="shared" si="56"/>
        <v>ol5c02659</v>
      </c>
      <c r="C303" s="1" t="str">
        <f t="shared" si="57"/>
        <v>#ol5c02659 xyz</v>
      </c>
      <c r="D303" t="str">
        <f>IF(F303=1,"",IF(AND(D302="",S302=S303),"",S303-SUM(F$2:F302)))</f>
        <v/>
      </c>
      <c r="E303" t="str">
        <f t="shared" si="58"/>
        <v>0</v>
      </c>
      <c r="F303">
        <v>1</v>
      </c>
      <c r="G303" t="s">
        <v>1097</v>
      </c>
      <c r="M303" t="str">
        <f t="shared" si="59"/>
        <v/>
      </c>
      <c r="N303" t="str">
        <f t="shared" si="60"/>
        <v>ol5c02659_si_001.xyz</v>
      </c>
      <c r="O303" t="b">
        <f t="shared" si="61"/>
        <v>1</v>
      </c>
      <c r="P303" s="13" t="s">
        <v>401</v>
      </c>
      <c r="Q303" s="13" t="s">
        <v>402</v>
      </c>
      <c r="R303" t="str">
        <f t="shared" si="62"/>
        <v>001</v>
      </c>
      <c r="S303">
        <f t="shared" si="68"/>
        <v>222</v>
      </c>
      <c r="T303" s="13" t="str">
        <f>VLOOKUP(Q303,original!B:C,2,FALSE)</f>
        <v>π‑Extended 1,1′-Binaphthyl with Fused Pentagons</v>
      </c>
      <c r="U303" s="13" t="s">
        <v>403</v>
      </c>
      <c r="V303" t="str">
        <f t="shared" si="63"/>
        <v>ol5c02659</v>
      </c>
      <c r="W303" t="str">
        <f t="shared" si="64"/>
        <v>ol5c02659_si_001.zip</v>
      </c>
      <c r="X303" t="str">
        <f t="shared" si="65"/>
        <v>https://acs.figshare.com/articles/dataset/_Extended_1_1_-Binaphthyl_with_Fused_Pentagons/29835796</v>
      </c>
      <c r="Y303" s="1" t="str">
        <f t="shared" si="69"/>
        <v>--localSource c:/temp/acs2/data --targetDir c:/temp/acs2/$DOI$ --noDownload --readOnly  --pubDOI https://doi.org/10.1021/acs.orglett.5c02659 --dataDOI "10.1021/acs.orglett.5c02659https://acs.figshare.com/articles/dataset/_Extended_1_1_-Binaphthyl_with_Fused_Pentagons/29835796"</v>
      </c>
      <c r="Z303" t="str">
        <f t="shared" si="66"/>
        <v>&lt;br&gt;&lt;a href="https://doi.org/10.1021/acs.orglett.5c02659.s001"&gt;https://doi.org/10.1021/acs.orglett.5c02659.s001&lt;/a&gt;</v>
      </c>
      <c r="AA303" t="str">
        <f t="shared" si="67"/>
        <v/>
      </c>
    </row>
    <row r="304" spans="1:27" x14ac:dyDescent="0.35">
      <c r="A304">
        <v>303</v>
      </c>
      <c r="B304" s="5" t="str">
        <f t="shared" si="56"/>
        <v>ol5c02670</v>
      </c>
      <c r="C304" s="1" t="str">
        <f t="shared" si="57"/>
        <v>ol5c02670</v>
      </c>
      <c r="D304">
        <f>IF(F304=1,"",IF(AND(D303="",S303=S304),"",S304-SUM(F$2:F303)))</f>
        <v>164</v>
      </c>
      <c r="E304" t="str">
        <f t="shared" si="58"/>
        <v>0</v>
      </c>
      <c r="F304">
        <v>0</v>
      </c>
      <c r="H304">
        <v>66</v>
      </c>
      <c r="I304">
        <v>182</v>
      </c>
      <c r="M304" t="str">
        <f t="shared" si="59"/>
        <v>/*164 ol5c02670 */"https://doi.org/10.1021/acs.orglett.5c02670.s001",//Visible-Light-Promoted Selenylative Radical Cyclization of 2‑Vinyl‑N‑Aryl Imines to 3H‑Indoles via Oxygen Photosensitization</v>
      </c>
      <c r="N304" t="e">
        <f t="shared" si="60"/>
        <v>#N/A</v>
      </c>
      <c r="O304" t="b">
        <f t="shared" si="61"/>
        <v>0</v>
      </c>
      <c r="P304" s="13" t="s">
        <v>465</v>
      </c>
      <c r="Q304" s="13" t="s">
        <v>466</v>
      </c>
      <c r="R304" t="str">
        <f t="shared" si="62"/>
        <v>001</v>
      </c>
      <c r="S304">
        <f t="shared" si="68"/>
        <v>223</v>
      </c>
      <c r="T304" s="13" t="str">
        <f>VLOOKUP(Q304,original!B:C,2,FALSE)</f>
        <v>Visible-Light-Promoted Selenylative Radical Cyclization of 2‑Vinyl‑N‑Aryl Imines to 3H‑Indoles via Oxygen Photosensitization</v>
      </c>
      <c r="U304" s="13" t="s">
        <v>467</v>
      </c>
      <c r="V304" t="str">
        <f t="shared" si="63"/>
        <v>ol5c02670</v>
      </c>
      <c r="W304" t="str">
        <f t="shared" si="64"/>
        <v>ol5c02670_si_001.zip</v>
      </c>
      <c r="X304" t="str">
        <f t="shared" si="65"/>
        <v>https://acs.figshare.com/articles/dataset/Visible-Light-Promoted_Selenylative_Radical_Cyclization_of_2_Vinyl_i_N_i_Aryl_Imines_to_3_i_H_i_Indoles_via_Oxygen_Photosensitization/29621294</v>
      </c>
      <c r="Y304" s="1" t="str">
        <f t="shared" si="69"/>
        <v>--localSource c:/temp/acs2/data --targetDir c:/temp/acs2/$DOI$ --noDownload --readOnly  --pubDOI https://doi.org/10.1021/acs.orglett.5c02670 --dataDOI "10.1021/acs.orglett.5c02670https://acs.figshare.com/articles/dataset/Visible-Light-Promoted_Selenylative_Radical_Cyclization_of_2_Vinyl_i_N_i_Aryl_Imines_to_3_i_H_i_Indoles_via_Oxygen_Photosensitization/29621294"</v>
      </c>
      <c r="Z304" t="str">
        <f t="shared" si="66"/>
        <v>&lt;br&gt;&lt;a href="https://doi.org/10.1021/acs.orglett.5c02670.s001"&gt;https://doi.org/10.1021/acs.orglett.5c02670.s001&lt;/a&gt;</v>
      </c>
      <c r="AA304" t="str">
        <f t="shared" si="67"/>
        <v/>
      </c>
    </row>
    <row r="305" spans="1:27" x14ac:dyDescent="0.35">
      <c r="A305">
        <v>304</v>
      </c>
      <c r="B305" s="5" t="str">
        <f t="shared" si="56"/>
        <v>ol5c02689</v>
      </c>
      <c r="C305" s="1" t="str">
        <f t="shared" si="57"/>
        <v>ol5c02689</v>
      </c>
      <c r="D305">
        <f>IF(F305=1,"",IF(AND(D304="",S304=S305),"",S305-SUM(F$2:F304)))</f>
        <v>165</v>
      </c>
      <c r="E305" t="str">
        <f t="shared" si="58"/>
        <v>0</v>
      </c>
      <c r="F305">
        <v>0</v>
      </c>
      <c r="H305">
        <v>7</v>
      </c>
      <c r="I305">
        <v>9</v>
      </c>
      <c r="M305" t="str">
        <f t="shared" si="59"/>
        <v>/*165 ol5c02689 */"https://doi.org/10.1021/acs.orglett.5c02689.s001",//Isolation of a Transition-State Geometry via Intermolecular Stabilization in the Solid State</v>
      </c>
      <c r="N305" t="e">
        <f t="shared" si="60"/>
        <v>#N/A</v>
      </c>
      <c r="O305" t="b">
        <f t="shared" si="61"/>
        <v>0</v>
      </c>
      <c r="P305" s="13" t="s">
        <v>397</v>
      </c>
      <c r="Q305" s="13" t="s">
        <v>398</v>
      </c>
      <c r="R305" t="str">
        <f t="shared" si="62"/>
        <v>001</v>
      </c>
      <c r="S305">
        <f t="shared" si="68"/>
        <v>224</v>
      </c>
      <c r="T305" s="13" t="str">
        <f>VLOOKUP(Q305,original!B:C,2,FALSE)</f>
        <v>Isolation of a Transition-State Geometry via Intermolecular Stabilization in the Solid State</v>
      </c>
      <c r="U305" s="13" t="s">
        <v>400</v>
      </c>
      <c r="V305" t="str">
        <f t="shared" si="63"/>
        <v>ol5c02689</v>
      </c>
      <c r="W305" t="str">
        <f t="shared" si="64"/>
        <v>ol5c02689_si_001.zip</v>
      </c>
      <c r="X305" t="str">
        <f t="shared" si="65"/>
        <v>https://acs.figshare.com/articles/dataset/Isolation_of_a_Transition-State_Geometry_via_Intermolecular_Stabilization_in_the_Solid_State/29847572</v>
      </c>
      <c r="Y305" s="1" t="str">
        <f t="shared" si="69"/>
        <v>--localSource c:/temp/acs2/data --targetDir c:/temp/acs2/$DOI$ --noDownload --readOnly  --pubDOI https://doi.org/10.1021/acs.orglett.5c02689 --dataDOI "10.1021/acs.orglett.5c02689https://acs.figshare.com/articles/dataset/Isolation_of_a_Transition-State_Geometry_via_Intermolecular_Stabilization_in_the_Solid_State/29847572"</v>
      </c>
      <c r="Z305" t="str">
        <f t="shared" si="66"/>
        <v>&lt;br&gt;&lt;a href="https://doi.org/10.1021/acs.orglett.5c02689.s001"&gt;https://doi.org/10.1021/acs.orglett.5c02689.s001&lt;/a&gt;</v>
      </c>
      <c r="AA305" t="str">
        <f t="shared" si="67"/>
        <v/>
      </c>
    </row>
    <row r="306" spans="1:27" x14ac:dyDescent="0.35">
      <c r="A306">
        <v>305</v>
      </c>
      <c r="B306" s="5" t="str">
        <f t="shared" si="56"/>
        <v>ol5c02706</v>
      </c>
      <c r="C306" s="1" t="str">
        <f t="shared" si="57"/>
        <v>#ol5c02706 xyz</v>
      </c>
      <c r="D306" t="str">
        <f>IF(F306=1,"",IF(AND(D305="",S305=S306),"",S306-SUM(F$2:F305)))</f>
        <v/>
      </c>
      <c r="E306" t="str">
        <f t="shared" si="58"/>
        <v>0</v>
      </c>
      <c r="F306">
        <v>1</v>
      </c>
      <c r="G306" t="s">
        <v>1097</v>
      </c>
      <c r="M306" t="str">
        <f t="shared" si="59"/>
        <v/>
      </c>
      <c r="N306" t="str">
        <f t="shared" si="60"/>
        <v>ol5c02706_si_001.xyz</v>
      </c>
      <c r="O306" t="b">
        <f t="shared" si="61"/>
        <v>1</v>
      </c>
      <c r="P306" s="13" t="s">
        <v>461</v>
      </c>
      <c r="Q306" s="13" t="s">
        <v>462</v>
      </c>
      <c r="R306" t="str">
        <f t="shared" si="62"/>
        <v>001</v>
      </c>
      <c r="S306">
        <f t="shared" si="68"/>
        <v>225</v>
      </c>
      <c r="T306" s="13" t="str">
        <f>VLOOKUP(Q306,original!B:C,2,FALSE)</f>
        <v>A 2 nm Molecular Ladder with a Twisted Backbone</v>
      </c>
      <c r="U306" s="13" t="s">
        <v>464</v>
      </c>
      <c r="V306" t="str">
        <f t="shared" si="63"/>
        <v>ol5c02706</v>
      </c>
      <c r="W306" t="str">
        <f t="shared" si="64"/>
        <v>ol5c02706_si_001.zip</v>
      </c>
      <c r="X306" t="str">
        <f t="shared" si="65"/>
        <v>https://acs.figshare.com/articles/dataset/A_2_nm_Molecular_Ladder_with_a_Twisted_Backbone/29632109</v>
      </c>
      <c r="Y306" s="1" t="str">
        <f t="shared" si="69"/>
        <v>--localSource c:/temp/acs2/data --targetDir c:/temp/acs2/$DOI$ --noDownload --readOnly  --pubDOI https://doi.org/10.1021/acs.orglett.5c02706 --dataDOI "10.1021/acs.orglett.5c02706https://acs.figshare.com/articles/dataset/A_2_nm_Molecular_Ladder_with_a_Twisted_Backbone/29632109"</v>
      </c>
      <c r="Z306" t="str">
        <f t="shared" si="66"/>
        <v>&lt;br&gt;&lt;a href="https://doi.org/10.1021/acs.orglett.5c02706.s001"&gt;https://doi.org/10.1021/acs.orglett.5c02706.s001&lt;/a&gt;</v>
      </c>
      <c r="AA306" t="str">
        <f t="shared" si="67"/>
        <v/>
      </c>
    </row>
    <row r="307" spans="1:27" x14ac:dyDescent="0.35">
      <c r="A307">
        <v>306</v>
      </c>
      <c r="B307" s="5" t="str">
        <f t="shared" si="56"/>
        <v>ol5c02724</v>
      </c>
      <c r="C307" s="1" t="str">
        <f t="shared" si="57"/>
        <v>ol5c02724</v>
      </c>
      <c r="D307">
        <f>IF(F307=1,"",IF(AND(D306="",S306=S307),"",S307-SUM(F$2:F306)))</f>
        <v>166</v>
      </c>
      <c r="E307" t="str">
        <f t="shared" si="58"/>
        <v>0</v>
      </c>
      <c r="F307">
        <v>0</v>
      </c>
      <c r="H307">
        <v>49</v>
      </c>
      <c r="I307">
        <v>106</v>
      </c>
      <c r="J307">
        <v>49</v>
      </c>
      <c r="M307" t="str">
        <f t="shared" si="59"/>
        <v>/*166 ol5c02724 */"https://doi.org/10.1021/acs.orglett.5c02724.s001",//Rapid Access to Spiro[4.6]-(di)benzodiazepine Indenes: Regioselective Rh(III)-Catalyzed Cascade C–H Activation/Spiroannulation</v>
      </c>
      <c r="N307" t="e">
        <f t="shared" si="60"/>
        <v>#N/A</v>
      </c>
      <c r="O307" t="b">
        <f t="shared" si="61"/>
        <v>0</v>
      </c>
      <c r="P307" s="13" t="s">
        <v>371</v>
      </c>
      <c r="Q307" s="13" t="s">
        <v>372</v>
      </c>
      <c r="R307" t="str">
        <f t="shared" si="62"/>
        <v>001</v>
      </c>
      <c r="S307">
        <f t="shared" si="68"/>
        <v>226</v>
      </c>
      <c r="T307" s="13" t="str">
        <f>VLOOKUP(Q307,original!B:C,2,FALSE)</f>
        <v>Rapid Access to Spiro[4.6]-(di)benzodiazepine Indenes: Regioselective Rh(III)-Catalyzed Cascade C–H Activation/Spiroannulation</v>
      </c>
      <c r="U307" s="13" t="s">
        <v>373</v>
      </c>
      <c r="V307" t="str">
        <f t="shared" si="63"/>
        <v>ol5c02724</v>
      </c>
      <c r="W307" t="str">
        <f t="shared" si="64"/>
        <v>ol5c02724_si_001.zip</v>
      </c>
      <c r="X307" t="str">
        <f t="shared" si="65"/>
        <v>https://acs.figshare.com/articles/dataset/Rapid_Access_to_Spiro_4_6_-_di_benzodiazepine_Indenes_Regioselective_Rh_III_-Catalyzed_Cascade_C_H_Activation_Spiroannulation/29918536</v>
      </c>
      <c r="Y307" s="1" t="str">
        <f t="shared" si="69"/>
        <v>--localSource c:/temp/acs2/data --targetDir c:/temp/acs2/$DOI$ --noDownload --readOnly  --pubDOI https://doi.org/10.1021/acs.orglett.5c02724 --dataDOI "10.1021/acs.orglett.5c02724https://acs.figshare.com/articles/dataset/Rapid_Access_to_Spiro_4_6_-_di_benzodiazepine_Indenes_Regioselective_Rh_III_-Catalyzed_Cascade_C_H_Activation_Spiroannulation/29918536"</v>
      </c>
      <c r="Z307" t="str">
        <f t="shared" si="66"/>
        <v>&lt;br&gt;&lt;a href="https://doi.org/10.1021/acs.orglett.5c02724.s001"&gt;https://doi.org/10.1021/acs.orglett.5c02724.s001&lt;/a&gt;</v>
      </c>
      <c r="AA307" t="str">
        <f t="shared" si="67"/>
        <v/>
      </c>
    </row>
    <row r="308" spans="1:27" x14ac:dyDescent="0.35">
      <c r="A308">
        <v>307</v>
      </c>
      <c r="B308" s="5" t="str">
        <f t="shared" si="56"/>
        <v>ol5c02783</v>
      </c>
      <c r="C308" s="1" t="str">
        <f t="shared" si="57"/>
        <v>ol5c02783</v>
      </c>
      <c r="D308">
        <f>IF(F308=1,"",IF(AND(D307="",S307=S308),"",S308-SUM(F$2:F307)))</f>
        <v>167</v>
      </c>
      <c r="E308" t="str">
        <f t="shared" si="58"/>
        <v>0</v>
      </c>
      <c r="F308">
        <v>0</v>
      </c>
      <c r="H308">
        <v>47</v>
      </c>
      <c r="I308">
        <v>98</v>
      </c>
      <c r="M308" t="str">
        <f t="shared" si="59"/>
        <v>/*167 ol5c02783 */"https://doi.org/10.1021/acs.orglett.5c02783.s001",//Photoinduced Ligated Boryl Radical-Mediated Alkynylation of Inert Iodoalkanes</v>
      </c>
      <c r="N308" t="e">
        <f t="shared" si="60"/>
        <v>#N/A</v>
      </c>
      <c r="O308" t="b">
        <f t="shared" si="61"/>
        <v>0</v>
      </c>
      <c r="P308" s="13" t="s">
        <v>410</v>
      </c>
      <c r="Q308" s="13" t="s">
        <v>411</v>
      </c>
      <c r="R308" t="str">
        <f t="shared" si="62"/>
        <v>001</v>
      </c>
      <c r="S308">
        <f t="shared" si="68"/>
        <v>227</v>
      </c>
      <c r="T308" s="13" t="str">
        <f>VLOOKUP(Q308,original!B:C,2,FALSE)</f>
        <v>Photoinduced Ligated Boryl Radical-Mediated Alkynylation of Inert Iodoalkanes</v>
      </c>
      <c r="U308" s="13" t="s">
        <v>413</v>
      </c>
      <c r="V308" t="str">
        <f t="shared" si="63"/>
        <v>ol5c02783</v>
      </c>
      <c r="W308" t="str">
        <f t="shared" si="64"/>
        <v>ol5c02783_si_001.zip</v>
      </c>
      <c r="X308" t="str">
        <f t="shared" si="65"/>
        <v>https://acs.figshare.com/articles/dataset/Photoinduced_Ligated_Boryl_Radical-Mediated_Alkynylation_of_Inert_Iodoalkanes/29757096</v>
      </c>
      <c r="Y308" s="1" t="str">
        <f t="shared" si="69"/>
        <v>--localSource c:/temp/acs2/data --targetDir c:/temp/acs2/$DOI$ --noDownload --readOnly  --pubDOI https://doi.org/10.1021/acs.orglett.5c02783 --dataDOI "10.1021/acs.orglett.5c02783https://acs.figshare.com/articles/dataset/Photoinduced_Ligated_Boryl_Radical-Mediated_Alkynylation_of_Inert_Iodoalkanes/29757096"</v>
      </c>
      <c r="Z308" t="str">
        <f t="shared" si="66"/>
        <v>&lt;br&gt;&lt;a href="https://doi.org/10.1021/acs.orglett.5c02783.s001"&gt;https://doi.org/10.1021/acs.orglett.5c02783.s001&lt;/a&gt;</v>
      </c>
      <c r="AA308" t="str">
        <f t="shared" si="67"/>
        <v/>
      </c>
    </row>
    <row r="309" spans="1:27" x14ac:dyDescent="0.35">
      <c r="A309">
        <v>308</v>
      </c>
      <c r="B309" s="5" t="str">
        <f t="shared" si="56"/>
        <v>ol5c02876</v>
      </c>
      <c r="C309" s="1" t="str">
        <f t="shared" si="57"/>
        <v>ol5c02876</v>
      </c>
      <c r="D309">
        <f>IF(F309=1,"",IF(AND(D308="",S308=S309),"",S309-SUM(F$2:F308)))</f>
        <v>168</v>
      </c>
      <c r="E309" t="str">
        <f t="shared" si="58"/>
        <v>0</v>
      </c>
      <c r="F309">
        <v>0</v>
      </c>
      <c r="H309">
        <v>54</v>
      </c>
      <c r="I309">
        <v>114</v>
      </c>
      <c r="M309" t="str">
        <f t="shared" si="59"/>
        <v>/*168 ol5c02876 */"https://doi.org/10.1021/acs.orglett.5c02876.s001",//Construction of Acyclic Vicinal All-Carbon Quaternary and Tertiary Carbon Stereocenters via a Stereoselective Claisen Rearrangement</v>
      </c>
      <c r="N309" t="e">
        <f t="shared" si="60"/>
        <v>#N/A</v>
      </c>
      <c r="O309" t="b">
        <f t="shared" si="61"/>
        <v>0</v>
      </c>
      <c r="P309" s="13" t="s">
        <v>346</v>
      </c>
      <c r="Q309" s="13" t="s">
        <v>347</v>
      </c>
      <c r="R309" t="str">
        <f t="shared" si="62"/>
        <v>001</v>
      </c>
      <c r="S309">
        <f t="shared" si="68"/>
        <v>228</v>
      </c>
      <c r="T309" s="13" t="str">
        <f>VLOOKUP(Q309,original!B:C,2,FALSE)</f>
        <v>Construction of Acyclic Vicinal All-Carbon Quaternary and Tertiary Carbon Stereocenters via a Stereoselective Claisen Rearrangement</v>
      </c>
      <c r="U309" s="13" t="s">
        <v>349</v>
      </c>
      <c r="V309" t="str">
        <f t="shared" si="63"/>
        <v>ol5c02876</v>
      </c>
      <c r="W309" t="str">
        <f t="shared" si="64"/>
        <v>ol5c02876_si_001.zip</v>
      </c>
      <c r="X309" t="str">
        <f t="shared" si="65"/>
        <v>https://acs.figshare.com/articles/dataset/Construction_of_Acyclic_Vicinal_All-Carbon_Quaternary_and_Tertiary_Carbon_Stereocenters_via_a_Stereoselective_Claisen_Rearrangement/29978185</v>
      </c>
      <c r="Y309" s="1" t="str">
        <f t="shared" si="69"/>
        <v>--localSource c:/temp/acs2/data --targetDir c:/temp/acs2/$DOI$ --noDownload --readOnly  --pubDOI https://doi.org/10.1021/acs.orglett.5c02876 --dataDOI "10.1021/acs.orglett.5c02876https://acs.figshare.com/articles/dataset/Construction_of_Acyclic_Vicinal_All-Carbon_Quaternary_and_Tertiary_Carbon_Stereocenters_via_a_Stereoselective_Claisen_Rearrangement/29978185"</v>
      </c>
      <c r="Z309" t="str">
        <f t="shared" si="66"/>
        <v>&lt;br&gt;&lt;a href="https://doi.org/10.1021/acs.orglett.5c02876.s001"&gt;https://doi.org/10.1021/acs.orglett.5c02876.s001&lt;/a&gt;</v>
      </c>
      <c r="AA309" t="str">
        <f t="shared" si="67"/>
        <v/>
      </c>
    </row>
    <row r="310" spans="1:27" x14ac:dyDescent="0.35">
      <c r="A310">
        <v>309</v>
      </c>
      <c r="B310" s="5" t="str">
        <f t="shared" si="56"/>
        <v>ol5c02878</v>
      </c>
      <c r="C310" s="1" t="str">
        <f t="shared" si="57"/>
        <v>ol5c02878</v>
      </c>
      <c r="D310">
        <f>IF(F310=1,"",IF(AND(D309="",S309=S310),"",S310-SUM(F$2:F309)))</f>
        <v>169</v>
      </c>
      <c r="E310" t="str">
        <f t="shared" si="58"/>
        <v>0</v>
      </c>
      <c r="F310">
        <v>0</v>
      </c>
      <c r="H310">
        <v>60</v>
      </c>
      <c r="I310">
        <v>122</v>
      </c>
      <c r="M310" t="str">
        <f t="shared" si="59"/>
        <v>/*169 ol5c02878 */"https://doi.org/10.1021/acs.orglett.5c02878.s001",//A Visible-Light Organophotoredox-Catalyzed anti-Markovnikov Hydrocarbamoylation of Unactivated Alkene and Cyclization Cascade via Radical Relay</v>
      </c>
      <c r="N310" t="e">
        <f t="shared" si="60"/>
        <v>#N/A</v>
      </c>
      <c r="O310" t="b">
        <f t="shared" si="61"/>
        <v>0</v>
      </c>
      <c r="P310" s="13" t="s">
        <v>339</v>
      </c>
      <c r="Q310" s="13" t="s">
        <v>340</v>
      </c>
      <c r="R310" t="str">
        <f t="shared" si="62"/>
        <v>001</v>
      </c>
      <c r="S310">
        <f t="shared" si="68"/>
        <v>229</v>
      </c>
      <c r="T310" s="13" t="str">
        <f>VLOOKUP(Q310,original!B:C,2,FALSE)</f>
        <v>A Visible-Light Organophotoredox-Catalyzed anti-Markovnikov Hydrocarbamoylation of Unactivated Alkene and Cyclization Cascade via Radical Relay</v>
      </c>
      <c r="U310" s="13" t="s">
        <v>342</v>
      </c>
      <c r="V310" t="str">
        <f t="shared" si="63"/>
        <v>ol5c02878</v>
      </c>
      <c r="W310" t="str">
        <f t="shared" si="64"/>
        <v>ol5c02878_si_001.zip</v>
      </c>
      <c r="X310" t="str">
        <f t="shared" si="65"/>
        <v>https://acs.figshare.com/articles/dataset/A_Visible-Light_Organophotoredox-Catalyzed_i_anti_i_-Markovnikov_Hydrocarbamoylation_of_Unactivated_Alkene_and_Cyclization_Cascade_via_Radical_Relay/29990042</v>
      </c>
      <c r="Y310" s="1" t="str">
        <f t="shared" si="69"/>
        <v>--localSource c:/temp/acs2/data --targetDir c:/temp/acs2/$DOI$ --noDownload --readOnly  --pubDOI https://doi.org/10.1021/acs.orglett.5c02878 --dataDOI "10.1021/acs.orglett.5c02878https://acs.figshare.com/articles/dataset/A_Visible-Light_Organophotoredox-Catalyzed_i_anti_i_-Markovnikov_Hydrocarbamoylation_of_Unactivated_Alkene_and_Cyclization_Cascade_via_Radical_Relay/29990042"</v>
      </c>
      <c r="Z310" t="str">
        <f t="shared" si="66"/>
        <v>&lt;br&gt;&lt;a href="https://doi.org/10.1021/acs.orglett.5c02878.s001"&gt;https://doi.org/10.1021/acs.orglett.5c02878.s001&lt;/a&gt;</v>
      </c>
      <c r="AA310" t="str">
        <f t="shared" si="67"/>
        <v/>
      </c>
    </row>
    <row r="311" spans="1:27" x14ac:dyDescent="0.35">
      <c r="A311">
        <v>310</v>
      </c>
      <c r="B311" s="5" t="str">
        <f t="shared" si="56"/>
        <v>ol5c03138</v>
      </c>
      <c r="C311" s="1" t="str">
        <f t="shared" si="57"/>
        <v>ol5c03138</v>
      </c>
      <c r="D311">
        <f>IF(F311=1,"",IF(AND(D310="",S310=S311),"",S311-SUM(F$2:F310)))</f>
        <v>170</v>
      </c>
      <c r="E311" t="str">
        <f t="shared" si="58"/>
        <v>0</v>
      </c>
      <c r="F311">
        <v>0</v>
      </c>
      <c r="H311">
        <v>186</v>
      </c>
      <c r="I311">
        <v>203</v>
      </c>
      <c r="J311">
        <v>72</v>
      </c>
      <c r="M311" t="str">
        <f t="shared" si="59"/>
        <v>/*170 ol5c03138 */"https://doi.org/10.1021/acs.orglett.5c03138.s002",//Visible-Light-Induced CdSeS/CdZnSe/ZnSe/ZnS Quantum-Dot-Catalyzed Three-Component Reaction for the Synthesis of α‑(4-Pyridyl)benzylaniline Derivatives</v>
      </c>
      <c r="N311" t="e">
        <f t="shared" si="60"/>
        <v>#N/A</v>
      </c>
      <c r="O311" t="b">
        <f t="shared" si="61"/>
        <v>0</v>
      </c>
      <c r="P311" s="13" t="s">
        <v>244</v>
      </c>
      <c r="Q311" s="13" t="s">
        <v>245</v>
      </c>
      <c r="R311" t="str">
        <f t="shared" si="62"/>
        <v>002</v>
      </c>
      <c r="S311">
        <f t="shared" si="68"/>
        <v>230</v>
      </c>
      <c r="T311" s="13" t="str">
        <f>VLOOKUP(Q311,original!B:C,2,FALSE)</f>
        <v>Visible-Light-Induced CdSeS/CdZnSe/ZnSe/ZnS Quantum-Dot-Catalyzed Three-Component Reaction for the Synthesis of α‑(4-Pyridyl)benzylaniline Derivatives</v>
      </c>
      <c r="U311" s="13" t="s">
        <v>246</v>
      </c>
      <c r="V311" t="str">
        <f t="shared" si="63"/>
        <v>ol5c03138</v>
      </c>
      <c r="W311" t="str">
        <f t="shared" si="64"/>
        <v>ol5c03138_si_002.zip</v>
      </c>
      <c r="X311" t="str">
        <f t="shared" si="65"/>
        <v>https://acs.figshare.com/articles/dataset/Visible-Light-Induced_CdSeS_CdZnSe_ZnSe_ZnS_Quantum-Dot-Catalyzed_Three-Component_Reaction_for_the_Synthesis_of_4-Pyridyl_benzylaniline_Derivatives/30312518</v>
      </c>
      <c r="Y311" s="1" t="str">
        <f t="shared" si="69"/>
        <v>--localSource c:/temp/acs2/data --targetDir c:/temp/acs2/$DOI$ --noDownload --readOnly  --pubDOI https://doi.org/10.1021/acs.orglett.5c03138 --dataDOI "10.1021/acs.orglett.5c03138https://acs.figshare.com/articles/dataset/Visible-Light-Induced_CdSeS_CdZnSe_ZnSe_ZnS_Quantum-Dot-Catalyzed_Three-Component_Reaction_for_the_Synthesis_of_4-Pyridyl_benzylaniline_Derivatives/30312518"</v>
      </c>
      <c r="Z311" t="str">
        <f t="shared" si="66"/>
        <v>&lt;br&gt;&lt;a href="https://doi.org/10.1021/acs.orglett.5c03138.s002"&gt;https://doi.org/10.1021/acs.orglett.5c03138.s002&lt;/a&gt;</v>
      </c>
      <c r="AA311" t="str">
        <f t="shared" si="67"/>
        <v/>
      </c>
    </row>
    <row r="312" spans="1:27" x14ac:dyDescent="0.35">
      <c r="A312">
        <v>311</v>
      </c>
      <c r="B312" s="5" t="str">
        <f t="shared" si="56"/>
        <v>ol5c03157</v>
      </c>
      <c r="C312" s="1" t="str">
        <f t="shared" si="57"/>
        <v/>
      </c>
      <c r="D312">
        <f>IF(F312=1,"",IF(AND(D311="",S311=S312),"",S312-SUM(F$2:F311)))</f>
        <v>171</v>
      </c>
      <c r="E312" t="str">
        <f t="shared" si="58"/>
        <v>0</v>
      </c>
      <c r="F312">
        <v>0</v>
      </c>
      <c r="M312" t="str">
        <f t="shared" si="59"/>
        <v>/*171 ol5c03157 */"https://doi.org/10.1021/acs.orglett.5c03157.s002",//Construction of Benzothiophene-Fused 1,2,4-Triazocines via a Skeletal Editing Strategy and DFT Study on the Reaction Mechanism</v>
      </c>
      <c r="N312" t="e">
        <f t="shared" si="60"/>
        <v>#N/A</v>
      </c>
      <c r="O312" t="b">
        <f t="shared" si="61"/>
        <v>0</v>
      </c>
      <c r="P312" s="13" t="s">
        <v>146</v>
      </c>
      <c r="Q312" s="13" t="s">
        <v>147</v>
      </c>
      <c r="R312" t="str">
        <f t="shared" si="62"/>
        <v>002</v>
      </c>
      <c r="S312">
        <f t="shared" si="68"/>
        <v>231</v>
      </c>
      <c r="T312" s="13" t="str">
        <f>VLOOKUP(Q312,original!B:C,2,FALSE)</f>
        <v>Construction of Benzothiophene-Fused 1,2,4-Triazocines via a Skeletal Editing Strategy and DFT Study on the Reaction Mechanism</v>
      </c>
      <c r="U312" s="13" t="s">
        <v>145</v>
      </c>
      <c r="V312" t="str">
        <f t="shared" si="63"/>
        <v>ol5c03157</v>
      </c>
      <c r="W312" t="str">
        <f t="shared" si="64"/>
        <v>ol5c03157_si_002.zip</v>
      </c>
      <c r="X312" t="str">
        <f t="shared" si="65"/>
        <v>https://acs.figshare.com/articles/dataset/Construction_of_Benzothiophene-Fused_1_2_4-Triazocines_via_a_Skeletal_Editing_Strategy_and_DFT_Study_on_the_Reaction_Mechanism/30648619</v>
      </c>
      <c r="Y312" s="1" t="str">
        <f t="shared" si="69"/>
        <v/>
      </c>
      <c r="Z312" t="str">
        <f t="shared" si="66"/>
        <v>&lt;br&gt;&lt;a href="https://doi.org/10.1021/acs.orglett.5c03157.s002"&gt;https://doi.org/10.1021/acs.orglett.5c03157.s002&lt;/a&gt;</v>
      </c>
      <c r="AA312" t="str">
        <f t="shared" si="67"/>
        <v/>
      </c>
    </row>
    <row r="313" spans="1:27" x14ac:dyDescent="0.35">
      <c r="A313">
        <v>312</v>
      </c>
      <c r="B313" s="5" t="str">
        <f t="shared" si="56"/>
        <v>ol5c03157</v>
      </c>
      <c r="C313" s="1" t="str">
        <f t="shared" si="57"/>
        <v>ol5c03157</v>
      </c>
      <c r="D313">
        <f>IF(F313=1,"",IF(AND(D312="",S312=S313),"",S313-SUM(F$2:F312)))</f>
        <v>171</v>
      </c>
      <c r="E313" t="str">
        <f t="shared" si="58"/>
        <v>1</v>
      </c>
      <c r="F313">
        <v>0</v>
      </c>
      <c r="H313">
        <v>27</v>
      </c>
      <c r="I313">
        <v>54</v>
      </c>
      <c r="M313" t="str">
        <f t="shared" si="59"/>
        <v>/*171 ol5c03157 */"https://doi.org/10.1021/acs.orglett.5c03157.s003",//Construction of Benzothiophene-Fused 1,2,4-Triazocines via a Skeletal Editing Strategy and DFT Study on the Reaction Mechanism</v>
      </c>
      <c r="N313" t="e">
        <f t="shared" si="60"/>
        <v>#N/A</v>
      </c>
      <c r="O313" t="b">
        <f t="shared" si="61"/>
        <v>0</v>
      </c>
      <c r="P313" s="13" t="s">
        <v>142</v>
      </c>
      <c r="Q313" s="13" t="s">
        <v>143</v>
      </c>
      <c r="R313" t="str">
        <f t="shared" si="62"/>
        <v>003</v>
      </c>
      <c r="S313">
        <f t="shared" si="68"/>
        <v>231</v>
      </c>
      <c r="T313" s="13" t="str">
        <f>VLOOKUP(Q313,original!B:C,2,FALSE)</f>
        <v>Construction of Benzothiophene-Fused 1,2,4-Triazocines via a Skeletal Editing Strategy and DFT Study on the Reaction Mechanism</v>
      </c>
      <c r="U313" s="13" t="s">
        <v>145</v>
      </c>
      <c r="V313" t="str">
        <f t="shared" si="63"/>
        <v>ol5c03157</v>
      </c>
      <c r="W313" t="str">
        <f t="shared" si="64"/>
        <v>ol5c03157_si_003.zip</v>
      </c>
      <c r="X313" t="str">
        <f t="shared" si="65"/>
        <v>https://acs.figshare.com/articles/dataset/Construction_of_Benzothiophene-Fused_1_2_4-Triazocines_via_a_Skeletal_Editing_Strategy_and_DFT_Study_on_the_Reaction_Mechanism/30648619\thttps://acs.figshare.com/articles/dataset/Construction_of_Benzothiophene-Fused_1_2_4-Triazocines_via_a_Skeletal_Editing_Strategy_and_DFT_Study_on_the_Reaction_Mechanism/30648622</v>
      </c>
      <c r="Y313" s="1" t="str">
        <f t="shared" si="69"/>
        <v>--localSource c:/temp/acs2/data --targetDir c:/temp/acs2/$DOI$ --noDownload --readOnly  --pubDOI https://doi.org/10.1021/acs.orglett.5c03157 --dataDOI "10.1021/acs.orglett.5c03157https://acs.figshare.com/articles/dataset/Construction_of_Benzothiophene-Fused_1_2_4-Triazocines_via_a_Skeletal_Editing_Strategy_and_DFT_Study_on_the_Reaction_Mechanism/30648619\thttps://acs.figshare.com/articles/dataset/Construction_of_Benzothiophene-Fused_1_2_4-Triazocines_via_a_Skeletal_Editing_Strategy_and_DFT_Study_on_the_Reaction_Mechanism/30648622"</v>
      </c>
      <c r="Z313" t="str">
        <f t="shared" si="66"/>
        <v>&lt;br&gt;&lt;a href="https://doi.org/10.1021/acs.orglett.5c03157.s003"&gt;https://doi.org/10.1021/acs.orglett.5c03157.s003&lt;/a&gt;</v>
      </c>
      <c r="AA313" t="str">
        <f t="shared" si="67"/>
        <v/>
      </c>
    </row>
    <row r="314" spans="1:27" x14ac:dyDescent="0.35">
      <c r="A314">
        <v>313</v>
      </c>
      <c r="B314" s="5" t="str">
        <f t="shared" si="56"/>
        <v>ol5c03186</v>
      </c>
      <c r="C314" s="1" t="str">
        <f t="shared" si="57"/>
        <v>ol5c03186 # 330/Apr23-2025FN330.zip__/pdata and 1H/330/pdata</v>
      </c>
      <c r="D314">
        <f>IF(F314=1,"",IF(AND(D313="",S313=S314),"",S314-SUM(F$2:F313)))</f>
        <v>172</v>
      </c>
      <c r="E314" t="str">
        <f t="shared" si="58"/>
        <v>0</v>
      </c>
      <c r="F314">
        <v>0</v>
      </c>
      <c r="G314" t="s">
        <v>1131</v>
      </c>
      <c r="H314">
        <v>0</v>
      </c>
      <c r="I314">
        <v>0</v>
      </c>
      <c r="M314" t="str">
        <f t="shared" si="59"/>
        <v>/*172 ol5c03186 */"https://doi.org/10.1021/acs.orglett.5c03186.s001",//Alectinib Synthesis through Formal α‑Arylation of Enone</v>
      </c>
      <c r="N314" t="e">
        <f t="shared" si="60"/>
        <v>#N/A</v>
      </c>
      <c r="O314" t="b">
        <f t="shared" si="61"/>
        <v>0</v>
      </c>
      <c r="P314" s="13" t="s">
        <v>357</v>
      </c>
      <c r="Q314" s="13" t="s">
        <v>358</v>
      </c>
      <c r="R314" t="str">
        <f t="shared" si="62"/>
        <v>001</v>
      </c>
      <c r="S314">
        <f t="shared" si="68"/>
        <v>232</v>
      </c>
      <c r="T314" s="13" t="str">
        <f>VLOOKUP(Q314,original!B:C,2,FALSE)</f>
        <v>Alectinib Synthesis through Formal α‑Arylation of Enone</v>
      </c>
      <c r="U314" s="13" t="s">
        <v>359</v>
      </c>
      <c r="V314" t="str">
        <f t="shared" si="63"/>
        <v>ol5c03186</v>
      </c>
      <c r="W314" t="str">
        <f t="shared" si="64"/>
        <v>ol5c03186_si_001.zip</v>
      </c>
      <c r="X314" t="str">
        <f t="shared" si="65"/>
        <v>https://acs.figshare.com/articles/dataset/Alectinib_Synthesis_through_Formal_Arylation_of_Enone/29975754</v>
      </c>
      <c r="Y314" s="1" t="str">
        <f t="shared" si="69"/>
        <v>--localSource c:/temp/acs2/data --targetDir c:/temp/acs2/$DOI$ --noDownload --readOnly  --pubDOI https://doi.org/10.1021/acs.orglett.5c03186 --dataDOI "10.1021/acs.orglett.5c03186https://acs.figshare.com/articles/dataset/Alectinib_Synthesis_through_Formal_Arylation_of_Enone/29975754"</v>
      </c>
      <c r="Z314" t="str">
        <f t="shared" si="66"/>
        <v>&lt;br&gt;&lt;a href="https://doi.org/10.1021/acs.orglett.5c03186.s001"&gt;https://doi.org/10.1021/acs.orglett.5c03186.s001&lt;/a&gt;</v>
      </c>
      <c r="AA314" t="str">
        <f t="shared" si="67"/>
        <v/>
      </c>
    </row>
    <row r="315" spans="1:27" x14ac:dyDescent="0.35">
      <c r="A315">
        <v>314</v>
      </c>
      <c r="B315" s="5" t="str">
        <f t="shared" si="56"/>
        <v>ol5c03195</v>
      </c>
      <c r="C315" s="1" t="str">
        <f t="shared" si="57"/>
        <v>ol5c03195</v>
      </c>
      <c r="D315">
        <f>IF(F315=1,"",IF(AND(D314="",S314=S315),"",S315-SUM(F$2:F314)))</f>
        <v>173</v>
      </c>
      <c r="E315" t="str">
        <f t="shared" si="58"/>
        <v>0</v>
      </c>
      <c r="F315">
        <v>0</v>
      </c>
      <c r="H315">
        <v>15</v>
      </c>
      <c r="I315">
        <v>46</v>
      </c>
      <c r="J315">
        <v>3</v>
      </c>
      <c r="M315" t="str">
        <f t="shared" si="59"/>
        <v>/*173 ol5c03195 */"https://doi.org/10.1021/acs.orglett.5c03195.s002",//Easy Access to Vinylene-Linked Conjugated Homopolymers from Phosphonates via an O2‑Mediated Aldehyde-Free Strategy</v>
      </c>
      <c r="N315" t="e">
        <f t="shared" si="60"/>
        <v>#N/A</v>
      </c>
      <c r="O315" t="b">
        <f t="shared" si="61"/>
        <v>0</v>
      </c>
      <c r="P315" s="13" t="s">
        <v>297</v>
      </c>
      <c r="Q315" s="13" t="s">
        <v>298</v>
      </c>
      <c r="R315" t="str">
        <f t="shared" si="62"/>
        <v>002</v>
      </c>
      <c r="S315">
        <f t="shared" si="68"/>
        <v>233</v>
      </c>
      <c r="T315" s="13" t="str">
        <f>VLOOKUP(Q315,original!B:C,2,FALSE)</f>
        <v>Easy Access to Vinylene-Linked Conjugated Homopolymers from Phosphonates via an O2‑Mediated Aldehyde-Free Strategy</v>
      </c>
      <c r="U315" s="13" t="s">
        <v>299</v>
      </c>
      <c r="V315" t="str">
        <f t="shared" si="63"/>
        <v>ol5c03195</v>
      </c>
      <c r="W315" t="str">
        <f t="shared" si="64"/>
        <v>ol5c03195_si_002.zip</v>
      </c>
      <c r="X315" t="str">
        <f t="shared" si="65"/>
        <v>https://acs.figshare.com/articles/dataset/Easy_Access_to_Vinylene-Linked_Conjugated_Homopolymers_from_Phosphonates_via_an_O_sub_2_sub_Mediated_Aldehyde-Free_Strategy/30120108</v>
      </c>
      <c r="Y315" s="1" t="str">
        <f t="shared" si="69"/>
        <v>--localSource c:/temp/acs2/data --targetDir c:/temp/acs2/$DOI$ --noDownload --readOnly  --pubDOI https://doi.org/10.1021/acs.orglett.5c03195 --dataDOI "10.1021/acs.orglett.5c03195https://acs.figshare.com/articles/dataset/Easy_Access_to_Vinylene-Linked_Conjugated_Homopolymers_from_Phosphonates_via_an_O_sub_2_sub_Mediated_Aldehyde-Free_Strategy/30120108"</v>
      </c>
      <c r="Z315" t="str">
        <f t="shared" si="66"/>
        <v>&lt;br&gt;&lt;a href="https://doi.org/10.1021/acs.orglett.5c03195.s002"&gt;https://doi.org/10.1021/acs.orglett.5c03195.s002&lt;/a&gt;</v>
      </c>
      <c r="AA315" t="str">
        <f t="shared" si="67"/>
        <v/>
      </c>
    </row>
    <row r="316" spans="1:27" x14ac:dyDescent="0.35">
      <c r="A316">
        <v>315</v>
      </c>
      <c r="B316" s="5" t="str">
        <f t="shared" si="56"/>
        <v>ol5c03229</v>
      </c>
      <c r="C316" s="1" t="str">
        <f t="shared" si="57"/>
        <v>ol5c03229</v>
      </c>
      <c r="D316">
        <f>IF(F316=1,"",IF(AND(D315="",S315=S316),"",S316-SUM(F$2:F315)))</f>
        <v>174</v>
      </c>
      <c r="E316" t="str">
        <f t="shared" si="58"/>
        <v>0</v>
      </c>
      <c r="F316">
        <v>0</v>
      </c>
      <c r="H316">
        <v>68</v>
      </c>
      <c r="I316">
        <v>64</v>
      </c>
      <c r="J316">
        <v>43</v>
      </c>
      <c r="M316" t="str">
        <f t="shared" si="59"/>
        <v>/*174 ol5c03229 */"https://doi.org/10.1021/acs.orglett.5c03229.s002",//Visible-Light-Induced Difunctionalization of Styrenes with Aryl Hydrazines and tert-Butyl Nitrite: One-Pot Access to α‑Arylethanone Oximes</v>
      </c>
      <c r="N316" t="e">
        <f t="shared" si="60"/>
        <v>#N/A</v>
      </c>
      <c r="O316" t="b">
        <f t="shared" si="61"/>
        <v>0</v>
      </c>
      <c r="P316" s="13" t="s">
        <v>261</v>
      </c>
      <c r="Q316" s="13" t="s">
        <v>262</v>
      </c>
      <c r="R316" t="str">
        <f t="shared" si="62"/>
        <v>002</v>
      </c>
      <c r="S316">
        <f t="shared" si="68"/>
        <v>234</v>
      </c>
      <c r="T316" s="13" t="str">
        <f>VLOOKUP(Q316,original!B:C,2,FALSE)</f>
        <v>Visible-Light-Induced Difunctionalization of Styrenes with Aryl Hydrazines and tert-Butyl Nitrite: One-Pot Access to α‑Arylethanone Oximes</v>
      </c>
      <c r="U316" s="13" t="s">
        <v>263</v>
      </c>
      <c r="V316" t="str">
        <f t="shared" si="63"/>
        <v>ol5c03229</v>
      </c>
      <c r="W316" t="str">
        <f t="shared" si="64"/>
        <v>ol5c03229_si_002.zip</v>
      </c>
      <c r="X316" t="str">
        <f t="shared" si="65"/>
        <v>https://acs.figshare.com/articles/dataset/Visible-Light-Induced_Difunctionalization_of_Styrenes_with_Aryl_Hydrazines_and_i_tert_i_-Butyl_Nitrite_One-Pot_Access_to_Arylethanone_Oximes/30193538</v>
      </c>
      <c r="Y316" s="1" t="str">
        <f t="shared" si="69"/>
        <v>--localSource c:/temp/acs2/data --targetDir c:/temp/acs2/$DOI$ --noDownload --readOnly  --pubDOI https://doi.org/10.1021/acs.orglett.5c03229 --dataDOI "10.1021/acs.orglett.5c03229https://acs.figshare.com/articles/dataset/Visible-Light-Induced_Difunctionalization_of_Styrenes_with_Aryl_Hydrazines_and_i_tert_i_-Butyl_Nitrite_One-Pot_Access_to_Arylethanone_Oximes/30193538"</v>
      </c>
      <c r="Z316" t="str">
        <f t="shared" si="66"/>
        <v>&lt;br&gt;&lt;a href="https://doi.org/10.1021/acs.orglett.5c03229.s002"&gt;https://doi.org/10.1021/acs.orglett.5c03229.s002&lt;/a&gt;</v>
      </c>
      <c r="AA316" t="str">
        <f t="shared" si="67"/>
        <v/>
      </c>
    </row>
    <row r="317" spans="1:27" x14ac:dyDescent="0.35">
      <c r="A317">
        <v>316</v>
      </c>
      <c r="B317" s="5" t="str">
        <f t="shared" si="56"/>
        <v>ol5c03241</v>
      </c>
      <c r="C317" s="1" t="str">
        <f t="shared" si="57"/>
        <v>ol5c03241</v>
      </c>
      <c r="D317">
        <f>IF(F317=1,"",IF(AND(D316="",S316=S317),"",S317-SUM(F$2:F316)))</f>
        <v>175</v>
      </c>
      <c r="E317" t="str">
        <f t="shared" si="58"/>
        <v>0</v>
      </c>
      <c r="F317">
        <v>0</v>
      </c>
      <c r="H317">
        <v>179</v>
      </c>
      <c r="I317">
        <v>235</v>
      </c>
      <c r="J317">
        <v>13</v>
      </c>
      <c r="M317" t="str">
        <f t="shared" si="59"/>
        <v>/*175 ol5c03241 */"https://doi.org/10.1021/acs.orglett.5c03241.s001",//Photochemical Flow Synthesis of Trisubstituted Oxazoles Enabled by High-Power UV–B LED Modules</v>
      </c>
      <c r="N317" t="e">
        <f t="shared" si="60"/>
        <v>#N/A</v>
      </c>
      <c r="O317" t="b">
        <f t="shared" si="61"/>
        <v>0</v>
      </c>
      <c r="P317" s="13" t="s">
        <v>314</v>
      </c>
      <c r="Q317" s="13" t="s">
        <v>315</v>
      </c>
      <c r="R317" t="str">
        <f t="shared" si="62"/>
        <v>001</v>
      </c>
      <c r="S317">
        <f t="shared" si="68"/>
        <v>235</v>
      </c>
      <c r="T317" s="13" t="str">
        <f>VLOOKUP(Q317,original!B:C,2,FALSE)</f>
        <v>Photochemical Flow Synthesis of Trisubstituted Oxazoles Enabled by High-Power UV–B LED Modules</v>
      </c>
      <c r="U317" s="13" t="s">
        <v>316</v>
      </c>
      <c r="V317" t="str">
        <f t="shared" si="63"/>
        <v>ol5c03241</v>
      </c>
      <c r="W317" t="str">
        <f t="shared" si="64"/>
        <v>ol5c03241_si_001.zip</v>
      </c>
      <c r="X317" t="str">
        <f t="shared" si="65"/>
        <v>https://acs.figshare.com/articles/dataset/Photochemical_Flow_Synthesis_of_Trisubstituted_Oxazoles_Enabled_by_High-Power_UV_B_LED_Modules/30052080</v>
      </c>
      <c r="Y317" s="1" t="str">
        <f t="shared" si="69"/>
        <v>--localSource c:/temp/acs2/data --targetDir c:/temp/acs2/$DOI$ --noDownload --readOnly  --pubDOI https://doi.org/10.1021/acs.orglett.5c03241 --dataDOI "10.1021/acs.orglett.5c03241https://acs.figshare.com/articles/dataset/Photochemical_Flow_Synthesis_of_Trisubstituted_Oxazoles_Enabled_by_High-Power_UV_B_LED_Modules/30052080"</v>
      </c>
      <c r="Z317" t="str">
        <f t="shared" si="66"/>
        <v>&lt;br&gt;&lt;a href="https://doi.org/10.1021/acs.orglett.5c03241.s001"&gt;https://doi.org/10.1021/acs.orglett.5c03241.s001&lt;/a&gt;</v>
      </c>
      <c r="AA317" t="str">
        <f t="shared" si="67"/>
        <v/>
      </c>
    </row>
    <row r="318" spans="1:27" x14ac:dyDescent="0.35">
      <c r="A318">
        <v>317</v>
      </c>
      <c r="B318" s="5" t="str">
        <f t="shared" si="56"/>
        <v>ol5c03345</v>
      </c>
      <c r="C318" s="1" t="str">
        <f t="shared" si="57"/>
        <v>ol5c03345</v>
      </c>
      <c r="D318">
        <f>IF(F318=1,"",IF(AND(D317="",S317=S318),"",S318-SUM(F$2:F317)))</f>
        <v>176</v>
      </c>
      <c r="E318" t="str">
        <f t="shared" si="58"/>
        <v>0</v>
      </c>
      <c r="F318">
        <v>0</v>
      </c>
      <c r="H318">
        <v>42</v>
      </c>
      <c r="I318">
        <v>83</v>
      </c>
      <c r="M318" t="str">
        <f t="shared" si="59"/>
        <v>/*176 ol5c03345 */"https://doi.org/10.1021/acs.orglett.5c03345.s002",//Three-Component Reaction through Rh(III)-Catalyzed Strain Release of Bicyclo[1.1.0]butanes</v>
      </c>
      <c r="N318" t="e">
        <f t="shared" si="60"/>
        <v>#N/A</v>
      </c>
      <c r="O318" t="b">
        <f t="shared" si="61"/>
        <v>0</v>
      </c>
      <c r="P318" s="13" t="s">
        <v>300</v>
      </c>
      <c r="Q318" s="13" t="s">
        <v>301</v>
      </c>
      <c r="R318" t="str">
        <f t="shared" si="62"/>
        <v>002</v>
      </c>
      <c r="S318">
        <f t="shared" si="68"/>
        <v>236</v>
      </c>
      <c r="T318" s="13" t="str">
        <f>VLOOKUP(Q318,original!B:C,2,FALSE)</f>
        <v>Three-Component Reaction through Rh(III)-Catalyzed Strain Release of Bicyclo[1.1.0]butanes</v>
      </c>
      <c r="U318" s="13" t="s">
        <v>303</v>
      </c>
      <c r="V318" t="str">
        <f t="shared" si="63"/>
        <v>ol5c03345</v>
      </c>
      <c r="W318" t="str">
        <f t="shared" si="64"/>
        <v>ol5c03345_si_002.zip</v>
      </c>
      <c r="X318" t="str">
        <f t="shared" si="65"/>
        <v>https://acs.figshare.com/articles/dataset/Three-Component_Reaction_through_Rh_III_-Catalyzed_Strain_Release_of_Bicyclo_1_1_0_butanes/30117451</v>
      </c>
      <c r="Y318" s="1" t="str">
        <f t="shared" si="69"/>
        <v>--localSource c:/temp/acs2/data --targetDir c:/temp/acs2/$DOI$ --noDownload --readOnly  --pubDOI https://doi.org/10.1021/acs.orglett.5c03345 --dataDOI "10.1021/acs.orglett.5c03345https://acs.figshare.com/articles/dataset/Three-Component_Reaction_through_Rh_III_-Catalyzed_Strain_Release_of_Bicyclo_1_1_0_butanes/30117451"</v>
      </c>
      <c r="Z318" t="str">
        <f t="shared" si="66"/>
        <v>&lt;br&gt;&lt;a href="https://doi.org/10.1021/acs.orglett.5c03345.s002"&gt;https://doi.org/10.1021/acs.orglett.5c03345.s002&lt;/a&gt;</v>
      </c>
      <c r="AA318" t="str">
        <f t="shared" si="67"/>
        <v/>
      </c>
    </row>
    <row r="319" spans="1:27" x14ac:dyDescent="0.35">
      <c r="A319">
        <v>318</v>
      </c>
      <c r="B319" s="5" t="str">
        <f t="shared" si="56"/>
        <v>ol5c03358</v>
      </c>
      <c r="C319" s="1" t="str">
        <f t="shared" si="57"/>
        <v/>
      </c>
      <c r="D319" t="str">
        <f>IF(F319=1,"",IF(AND(D318="",S318=S319),"",S319-SUM(F$2:F318)))</f>
        <v/>
      </c>
      <c r="E319" t="str">
        <f t="shared" si="58"/>
        <v>0</v>
      </c>
      <c r="F319">
        <v>1</v>
      </c>
      <c r="G319" t="s">
        <v>1097</v>
      </c>
      <c r="M319" t="str">
        <f t="shared" si="59"/>
        <v/>
      </c>
      <c r="N319" t="str">
        <f t="shared" si="60"/>
        <v>ol5c03358_si_002.xyz</v>
      </c>
      <c r="O319" t="b">
        <f t="shared" si="61"/>
        <v>1</v>
      </c>
      <c r="P319" s="13" t="s">
        <v>250</v>
      </c>
      <c r="Q319" s="13" t="s">
        <v>251</v>
      </c>
      <c r="R319" t="str">
        <f t="shared" si="62"/>
        <v>002</v>
      </c>
      <c r="S319">
        <f t="shared" si="68"/>
        <v>237</v>
      </c>
      <c r="T319" s="13" t="str">
        <f>VLOOKUP(Q319,original!B:C,2,FALSE)</f>
        <v>Synthesis and Photophysical Properties of Cyclic Homodimer of U‑Shaped Dibenzophenazinylene</v>
      </c>
      <c r="U319" s="13" t="s">
        <v>249</v>
      </c>
      <c r="V319" t="str">
        <f t="shared" si="63"/>
        <v>ol5c03358</v>
      </c>
      <c r="W319" t="str">
        <f t="shared" si="64"/>
        <v>ol5c03358_si_002.zip</v>
      </c>
      <c r="X319" t="str">
        <f t="shared" si="65"/>
        <v>https://acs.figshare.com/articles/dataset/Synthesis_and_Photophysical_Properties_of_Cyclic_Homodimer_of_U_Shaped_Dibenzophenazinylene/30311801</v>
      </c>
      <c r="Y319" s="1" t="str">
        <f t="shared" si="69"/>
        <v/>
      </c>
      <c r="Z319" t="str">
        <f t="shared" si="66"/>
        <v>&lt;br&gt;&lt;a href="https://doi.org/10.1021/acs.orglett.5c03358.s002"&gt;https://doi.org/10.1021/acs.orglett.5c03358.s002&lt;/a&gt;</v>
      </c>
      <c r="AA319" t="str">
        <f t="shared" si="67"/>
        <v/>
      </c>
    </row>
    <row r="320" spans="1:27" x14ac:dyDescent="0.35">
      <c r="A320">
        <v>319</v>
      </c>
      <c r="B320" s="5" t="str">
        <f t="shared" si="56"/>
        <v>ol5c03358</v>
      </c>
      <c r="C320" s="1" t="str">
        <f t="shared" si="57"/>
        <v>#ol5c03358 xyz</v>
      </c>
      <c r="D320" t="str">
        <f>IF(F320=1,"",IF(AND(D319="",S319=S320),"",S320-SUM(F$2:F319)))</f>
        <v/>
      </c>
      <c r="E320" t="str">
        <f t="shared" si="58"/>
        <v>1</v>
      </c>
      <c r="F320">
        <v>0</v>
      </c>
      <c r="G320" t="s">
        <v>1097</v>
      </c>
      <c r="M320" t="str">
        <f t="shared" si="59"/>
        <v/>
      </c>
      <c r="N320" t="str">
        <f t="shared" si="60"/>
        <v>ol5c03358_si_003.xyz</v>
      </c>
      <c r="O320" t="b">
        <f t="shared" si="61"/>
        <v>1</v>
      </c>
      <c r="P320" s="13" t="s">
        <v>247</v>
      </c>
      <c r="Q320" s="13" t="s">
        <v>248</v>
      </c>
      <c r="R320" t="str">
        <f t="shared" si="62"/>
        <v>003</v>
      </c>
      <c r="S320">
        <f t="shared" si="68"/>
        <v>237</v>
      </c>
      <c r="T320" s="13" t="str">
        <f>VLOOKUP(Q320,original!B:C,2,FALSE)</f>
        <v>Synthesis and Photophysical Properties of Cyclic Homodimer of U‑Shaped Dibenzophenazinylene</v>
      </c>
      <c r="U320" s="13" t="s">
        <v>249</v>
      </c>
      <c r="V320" t="str">
        <f t="shared" si="63"/>
        <v>ol5c03358</v>
      </c>
      <c r="W320" t="str">
        <f t="shared" si="64"/>
        <v>ol5c03358_si_003.zip</v>
      </c>
      <c r="X320" t="str">
        <f t="shared" si="65"/>
        <v>https://acs.figshare.com/articles/dataset/Synthesis_and_Photophysical_Properties_of_Cyclic_Homodimer_of_U_Shaped_Dibenzophenazinylene/30311801\thttps://acs.figshare.com/articles/dataset/Synthesis_and_Photophysical_Properties_of_Cyclic_Homodimer_of_U_Shaped_Dibenzophenazinylene/30311804</v>
      </c>
      <c r="Y320" s="1" t="str">
        <f t="shared" si="69"/>
        <v>--localSource c:/temp/acs2/data --targetDir c:/temp/acs2/$DOI$ --noDownload --readOnly  --pubDOI https://doi.org/10.1021/acs.orglett.5c03358 --dataDOI "10.1021/acs.orglett.5c03358https://acs.figshare.com/articles/dataset/Synthesis_and_Photophysical_Properties_of_Cyclic_Homodimer_of_U_Shaped_Dibenzophenazinylene/30311801\thttps://acs.figshare.com/articles/dataset/Synthesis_and_Photophysical_Properties_of_Cyclic_Homodimer_of_U_Shaped_Dibenzophenazinylene/30311804"</v>
      </c>
      <c r="Z320" t="str">
        <f t="shared" si="66"/>
        <v>&lt;br&gt;&lt;a href="https://doi.org/10.1021/acs.orglett.5c03358.s003"&gt;https://doi.org/10.1021/acs.orglett.5c03358.s003&lt;/a&gt;</v>
      </c>
      <c r="AA320" t="str">
        <f t="shared" si="67"/>
        <v/>
      </c>
    </row>
    <row r="321" spans="1:27" x14ac:dyDescent="0.35">
      <c r="A321">
        <v>320</v>
      </c>
      <c r="B321" s="5" t="str">
        <f t="shared" si="56"/>
        <v>ol5c03410</v>
      </c>
      <c r="C321" s="1" t="str">
        <f t="shared" si="57"/>
        <v>#ol5c03410 xyz</v>
      </c>
      <c r="D321" t="str">
        <f>IF(F321=1,"",IF(AND(D320="",S320=S321),"",S321-SUM(F$2:F320)))</f>
        <v/>
      </c>
      <c r="E321" t="str">
        <f t="shared" si="58"/>
        <v>0</v>
      </c>
      <c r="F321">
        <v>1</v>
      </c>
      <c r="G321" t="s">
        <v>1097</v>
      </c>
      <c r="M321" t="str">
        <f t="shared" si="59"/>
        <v/>
      </c>
      <c r="N321" t="str">
        <f t="shared" si="60"/>
        <v>ol5c03410_si_002.xyz</v>
      </c>
      <c r="O321" t="b">
        <f t="shared" si="61"/>
        <v>1</v>
      </c>
      <c r="P321" s="13" t="s">
        <v>308</v>
      </c>
      <c r="Q321" s="13" t="s">
        <v>309</v>
      </c>
      <c r="R321" t="str">
        <f t="shared" si="62"/>
        <v>002</v>
      </c>
      <c r="S321">
        <f t="shared" si="68"/>
        <v>238</v>
      </c>
      <c r="T321" s="13" t="str">
        <f>VLOOKUP(Q321,original!B:C,2,FALSE)</f>
        <v>Photoredox Catalytic Synthesis of Indoles via Direct N–H Activation to Generate Putative Aminyl Radicals</v>
      </c>
      <c r="U321" s="13" t="s">
        <v>310</v>
      </c>
      <c r="V321" t="str">
        <f t="shared" si="63"/>
        <v>ol5c03410</v>
      </c>
      <c r="W321" t="str">
        <f t="shared" si="64"/>
        <v>ol5c03410_si_002.zip</v>
      </c>
      <c r="X321" t="str">
        <f t="shared" si="65"/>
        <v>https://acs.figshare.com/articles/dataset/Photoredox_Catalytic_Synthesis_of_Indoles_via_Direct_N_H_Activation_to_Generate_Putative_Aminyl_Radicals/30081057</v>
      </c>
      <c r="Y321" s="1" t="str">
        <f t="shared" si="69"/>
        <v>--localSource c:/temp/acs2/data --targetDir c:/temp/acs2/$DOI$ --noDownload --readOnly  --pubDOI https://doi.org/10.1021/acs.orglett.5c03410 --dataDOI "10.1021/acs.orglett.5c03410https://acs.figshare.com/articles/dataset/Photoredox_Catalytic_Synthesis_of_Indoles_via_Direct_N_H_Activation_to_Generate_Putative_Aminyl_Radicals/30081057"</v>
      </c>
      <c r="Z321" t="str">
        <f t="shared" si="66"/>
        <v>&lt;br&gt;&lt;a href="https://doi.org/10.1021/acs.orglett.5c03410.s002"&gt;https://doi.org/10.1021/acs.orglett.5c03410.s002&lt;/a&gt;</v>
      </c>
      <c r="AA321" t="str">
        <f t="shared" si="67"/>
        <v/>
      </c>
    </row>
    <row r="322" spans="1:27" x14ac:dyDescent="0.35">
      <c r="A322">
        <v>321</v>
      </c>
      <c r="B322" s="5" t="str">
        <f t="shared" ref="B322:B342" si="70">V322</f>
        <v>ol5c03615</v>
      </c>
      <c r="C322" s="1" t="str">
        <f t="shared" ref="C322:C385" si="71">IF(Y322="","",IF(OR(O322,F322=1,M322=""),"#"&amp;B322 &amp;" "&amp;G322,B322&amp;IF(G322="",""," # " &amp;G322)))</f>
        <v>ol5c03615</v>
      </c>
      <c r="D322">
        <f>IF(F322=1,"",IF(AND(D321="",S321=S322),"",S322-SUM(F$2:F321)))</f>
        <v>177</v>
      </c>
      <c r="E322" t="str">
        <f t="shared" ref="E322:E342" si="72">IF(B322=B321,"1","0")</f>
        <v>0</v>
      </c>
      <c r="F322">
        <v>0</v>
      </c>
      <c r="H322">
        <v>33</v>
      </c>
      <c r="I322">
        <v>68</v>
      </c>
      <c r="M322" t="str">
        <f t="shared" ref="M322:M342" si="73">IF(OR(O322,D322=""),"","/*"&amp;D322&amp;" " &amp; B322 &amp;" */"""&amp;Q322&amp;""",//"&amp;T322)</f>
        <v>/*177 ol5c03615 */"https://doi.org/10.1021/acs.orglett.5c03615.s001",//Regiodivergent Addition of Allylic Acetals in Ruthenium-Catalyzed C–H/N–H Annulation Reaction</v>
      </c>
      <c r="N322" t="e">
        <f t="shared" ref="N322:N342" si="74">VLOOKUP(W322,AA:AB,2,FALSE)</f>
        <v>#N/A</v>
      </c>
      <c r="O322" t="b">
        <f t="shared" ref="O322:O342" si="75">NOT(ISNA(VLOOKUP(W322,AA:AA,1,FALSE)))</f>
        <v>0</v>
      </c>
      <c r="P322" s="13" t="s">
        <v>236</v>
      </c>
      <c r="Q322" s="13" t="s">
        <v>237</v>
      </c>
      <c r="R322" t="str">
        <f t="shared" ref="R322:R385" si="76">MID(Q322,LEN(Q322)-2,4)</f>
        <v>001</v>
      </c>
      <c r="S322">
        <f t="shared" si="68"/>
        <v>239</v>
      </c>
      <c r="T322" s="13" t="str">
        <f>VLOOKUP(Q322,original!B:C,2,FALSE)</f>
        <v>Regiodivergent Addition of Allylic Acetals in Ruthenium-Catalyzed C–H/N–H Annulation Reaction</v>
      </c>
      <c r="U322" s="13" t="s">
        <v>238</v>
      </c>
      <c r="V322" t="str">
        <f t="shared" ref="V322:V385" si="77">SUBSTITUTE(SUBSTITUTE(MID(U322,LEN(U322)-8,100),"c.","jo"),"t.","ol")</f>
        <v>ol5c03615</v>
      </c>
      <c r="W322" t="str">
        <f t="shared" ref="W322:W342" si="78">B322&amp;"_si_"&amp;R322&amp;".zip"</f>
        <v>ol5c03615_si_001.zip</v>
      </c>
      <c r="X322" t="str">
        <f t="shared" ref="X322:X342" si="79">IF(U322&lt;&gt;U321,P322,X321&amp;"\t"&amp;P322)</f>
        <v>https://acs.figshare.com/articles/dataset/Regiodivergent_Addition_of_Allylic_Acetals_in_Ruthenium-Catalyzed_C_H_N_H_Annulation_Reaction/30330083</v>
      </c>
      <c r="Y322" s="1" t="str">
        <f t="shared" si="69"/>
        <v>--localSource c:/temp/acs2/data --targetDir c:/temp/acs2/$DOI$ --noDownload --readOnly  --pubDOI https://doi.org/10.1021/acs.orglett.5c03615 --dataDOI "10.1021/acs.orglett.5c03615https://acs.figshare.com/articles/dataset/Regiodivergent_Addition_of_Allylic_Acetals_in_Ruthenium-Catalyzed_C_H_N_H_Annulation_Reaction/30330083"</v>
      </c>
      <c r="Z322" t="str">
        <f t="shared" ref="Z322:Z342" si="80">"&lt;br&gt;&lt;a href="""&amp;Q322&amp;"""&gt;"&amp;Q322&amp;"&lt;/a&gt;"</f>
        <v>&lt;br&gt;&lt;a href="https://doi.org/10.1021/acs.orglett.5c03615.s001"&gt;https://doi.org/10.1021/acs.orglett.5c03615.s001&lt;/a&gt;</v>
      </c>
      <c r="AA322" t="str">
        <f t="shared" ref="AA322:AA385" si="81">IF(AB322="","",MID(AB322,1,LEN(AB322)-4)&amp;".zip")</f>
        <v/>
      </c>
    </row>
    <row r="323" spans="1:27" x14ac:dyDescent="0.35">
      <c r="A323">
        <v>322</v>
      </c>
      <c r="B323" s="5" t="str">
        <f t="shared" si="70"/>
        <v>ol5c03626</v>
      </c>
      <c r="C323" s="1" t="str">
        <f t="shared" si="71"/>
        <v>ol5c03626</v>
      </c>
      <c r="D323">
        <f>IF(F323=1,"",IF(AND(D322="",S322=S323),"",S323-SUM(F$2:F322)))</f>
        <v>178</v>
      </c>
      <c r="E323" t="str">
        <f t="shared" si="72"/>
        <v>0</v>
      </c>
      <c r="F323">
        <v>0</v>
      </c>
      <c r="H323">
        <v>13</v>
      </c>
      <c r="I323">
        <v>89</v>
      </c>
      <c r="M323" t="str">
        <f t="shared" si="73"/>
        <v>/*178 ol5c03626 */"https://doi.org/10.1021/acs.orglett.5c03626.s002",//Furan Oxidation-Cyclization to Oxazepines: Favoring 7‑exo-trig over 6‑endo-trig and 5‑exo-trig Trajectories</v>
      </c>
      <c r="N323" t="e">
        <f t="shared" si="74"/>
        <v>#N/A</v>
      </c>
      <c r="O323" t="b">
        <f t="shared" si="75"/>
        <v>0</v>
      </c>
      <c r="P323" s="13" t="s">
        <v>108</v>
      </c>
      <c r="Q323" s="13" t="s">
        <v>109</v>
      </c>
      <c r="R323" t="str">
        <f t="shared" si="76"/>
        <v>002</v>
      </c>
      <c r="S323">
        <f t="shared" ref="S323:S342" si="82">IF(U323=U322,S322,S322+1)</f>
        <v>240</v>
      </c>
      <c r="T323" s="13" t="str">
        <f>VLOOKUP(Q323,original!B:C,2,FALSE)</f>
        <v>Furan Oxidation-Cyclization to Oxazepines: Favoring 7‑exo-trig over 6‑endo-trig and 5‑exo-trig Trajectories</v>
      </c>
      <c r="U323" s="13" t="s">
        <v>110</v>
      </c>
      <c r="V323" t="str">
        <f t="shared" si="77"/>
        <v>ol5c03626</v>
      </c>
      <c r="W323" t="str">
        <f t="shared" si="78"/>
        <v>ol5c03626_si_002.zip</v>
      </c>
      <c r="X323" t="str">
        <f t="shared" si="79"/>
        <v>https://acs.figshare.com/articles/dataset/Furan_Oxidation-Cyclization_to_Oxazepines_Favoring_i_7_exo-trig_i_over_i_6_endo-trig_i_and_i_5_exo-trig_i_Trajectories/30739028</v>
      </c>
      <c r="Y323" s="1" t="str">
        <f t="shared" ref="Y323:Y386" si="83">IF(U323&lt;&gt;U324,$Y$1&amp;" --pubDOI "&amp; U323&amp;" --dataDOI """&amp;SUBSTITUTE(U323&amp;X323&amp;"""","https://doi.org/",""),"")</f>
        <v>--localSource c:/temp/acs2/data --targetDir c:/temp/acs2/$DOI$ --noDownload --readOnly  --pubDOI https://doi.org/10.1021/acs.orglett.5c03626 --dataDOI "10.1021/acs.orglett.5c03626https://acs.figshare.com/articles/dataset/Furan_Oxidation-Cyclization_to_Oxazepines_Favoring_i_7_exo-trig_i_over_i_6_endo-trig_i_and_i_5_exo-trig_i_Trajectories/30739028"</v>
      </c>
      <c r="Z323" t="str">
        <f t="shared" si="80"/>
        <v>&lt;br&gt;&lt;a href="https://doi.org/10.1021/acs.orglett.5c03626.s002"&gt;https://doi.org/10.1021/acs.orglett.5c03626.s002&lt;/a&gt;</v>
      </c>
      <c r="AA323" t="str">
        <f t="shared" si="81"/>
        <v/>
      </c>
    </row>
    <row r="324" spans="1:27" x14ac:dyDescent="0.35">
      <c r="A324">
        <v>323</v>
      </c>
      <c r="B324" s="5" t="str">
        <f t="shared" si="70"/>
        <v>ol5c03636</v>
      </c>
      <c r="C324" s="1" t="str">
        <f t="shared" si="71"/>
        <v>#ol5c03636 out</v>
      </c>
      <c r="D324" t="str">
        <f>IF(F324=1,"",IF(AND(D323="",S323=S324),"",S324-SUM(F$2:F323)))</f>
        <v/>
      </c>
      <c r="E324" t="str">
        <f t="shared" si="72"/>
        <v>0</v>
      </c>
      <c r="F324">
        <v>1</v>
      </c>
      <c r="G324" t="s">
        <v>2302</v>
      </c>
      <c r="H324">
        <v>0</v>
      </c>
      <c r="I324">
        <v>0</v>
      </c>
      <c r="M324" t="str">
        <f t="shared" si="73"/>
        <v/>
      </c>
      <c r="N324" t="e">
        <f t="shared" si="74"/>
        <v>#N/A</v>
      </c>
      <c r="O324" t="b">
        <f t="shared" si="75"/>
        <v>0</v>
      </c>
      <c r="P324" s="13" t="s">
        <v>1097</v>
      </c>
      <c r="Q324" s="13" t="s">
        <v>259</v>
      </c>
      <c r="R324" t="str">
        <f t="shared" si="76"/>
        <v>002</v>
      </c>
      <c r="S324">
        <f t="shared" si="82"/>
        <v>241</v>
      </c>
      <c r="T324" s="13" t="str">
        <f>VLOOKUP(Q324,original!B:C,2,FALSE)</f>
        <v>Generation [via Tetradehydro-Diels–Alder Reactions] and Reactivity of 6‑Fluorocyclohexa-1,2,4-triene Intermediates</v>
      </c>
      <c r="U324" s="13" t="s">
        <v>260</v>
      </c>
      <c r="V324" t="str">
        <f t="shared" si="77"/>
        <v>ol5c03636</v>
      </c>
      <c r="W324" t="str">
        <f t="shared" si="78"/>
        <v>ol5c03636_si_002.zip</v>
      </c>
      <c r="X324" t="str">
        <f t="shared" si="79"/>
        <v>xyz</v>
      </c>
      <c r="Y324" s="1" t="str">
        <f t="shared" si="83"/>
        <v>--localSource c:/temp/acs2/data --targetDir c:/temp/acs2/$DOI$ --noDownload --readOnly  --pubDOI https://doi.org/10.1021/acs.orglett.5c03636 --dataDOI "10.1021/acs.orglett.5c03636xyz"</v>
      </c>
      <c r="Z324" t="str">
        <f t="shared" si="80"/>
        <v>&lt;br&gt;&lt;a href="https://doi.org/10.1021/acs.orglett.5c03636.s002"&gt;https://doi.org/10.1021/acs.orglett.5c03636.s002&lt;/a&gt;</v>
      </c>
      <c r="AA324" t="str">
        <f t="shared" si="81"/>
        <v/>
      </c>
    </row>
    <row r="325" spans="1:27" x14ac:dyDescent="0.35">
      <c r="A325">
        <v>324</v>
      </c>
      <c r="B325" s="5" t="str">
        <f t="shared" si="70"/>
        <v>ol5c03764</v>
      </c>
      <c r="C325" s="1" t="str">
        <f t="shared" si="71"/>
        <v>#ol5c03764 xls</v>
      </c>
      <c r="D325" t="str">
        <f>IF(F325=1,"",IF(AND(D324="",S324=S325),"",S325-SUM(F$2:F324)))</f>
        <v/>
      </c>
      <c r="E325" t="str">
        <f t="shared" si="72"/>
        <v>0</v>
      </c>
      <c r="F325">
        <v>1</v>
      </c>
      <c r="G325" t="s">
        <v>1096</v>
      </c>
      <c r="M325" t="str">
        <f t="shared" si="73"/>
        <v/>
      </c>
      <c r="N325" t="str">
        <f t="shared" si="74"/>
        <v>ol5c03764_si_002.xls</v>
      </c>
      <c r="O325" t="b">
        <f t="shared" si="75"/>
        <v>1</v>
      </c>
      <c r="P325" s="13" t="s">
        <v>215</v>
      </c>
      <c r="Q325" s="13" t="s">
        <v>216</v>
      </c>
      <c r="R325" t="str">
        <f t="shared" si="76"/>
        <v>002</v>
      </c>
      <c r="S325">
        <f t="shared" si="82"/>
        <v>242</v>
      </c>
      <c r="T325" s="13" t="str">
        <f>VLOOKUP(Q325,original!B:C,2,FALSE)</f>
        <v>Copper-Catalyzed Regioselective Hydroamination and Dual Annulation of 2‑Alkynyl Indole-3-carbonitriles: An Assembly of Functionalized Amino-Benzo[h]indolo[3,2‑c][1,6]naphthyridines</v>
      </c>
      <c r="U325" s="13" t="s">
        <v>217</v>
      </c>
      <c r="V325" t="str">
        <f t="shared" si="77"/>
        <v>ol5c03764</v>
      </c>
      <c r="W325" t="str">
        <f t="shared" si="78"/>
        <v>ol5c03764_si_002.zip</v>
      </c>
      <c r="X325" t="str">
        <f t="shared" si="79"/>
        <v>https://acs.figshare.com/articles/dataset/Copper-Catalyzed_Regioselective_Hydroamination_and_Dual_Annulation_of_2_Alkynyl_Indole-3-carbonitriles_An_Assembly_of_Functionalized_Amino-Benzo_i_h_i_indolo_3_2_i_c_i_1_6_naphthyridines/30402010</v>
      </c>
      <c r="Y325" s="1" t="str">
        <f t="shared" si="83"/>
        <v>--localSource c:/temp/acs2/data --targetDir c:/temp/acs2/$DOI$ --noDownload --readOnly  --pubDOI https://doi.org/10.1021/acs.orglett.5c03764 --dataDOI "10.1021/acs.orglett.5c03764https://acs.figshare.com/articles/dataset/Copper-Catalyzed_Regioselective_Hydroamination_and_Dual_Annulation_of_2_Alkynyl_Indole-3-carbonitriles_An_Assembly_of_Functionalized_Amino-Benzo_i_h_i_indolo_3_2_i_c_i_1_6_naphthyridines/30402010"</v>
      </c>
      <c r="Z325" t="str">
        <f t="shared" si="80"/>
        <v>&lt;br&gt;&lt;a href="https://doi.org/10.1021/acs.orglett.5c03764.s002"&gt;https://doi.org/10.1021/acs.orglett.5c03764.s002&lt;/a&gt;</v>
      </c>
      <c r="AA325" t="str">
        <f t="shared" si="81"/>
        <v/>
      </c>
    </row>
    <row r="326" spans="1:27" x14ac:dyDescent="0.35">
      <c r="A326">
        <v>325</v>
      </c>
      <c r="B326" s="5" t="str">
        <f t="shared" si="70"/>
        <v>ol5c03906</v>
      </c>
      <c r="C326" s="1" t="str">
        <f t="shared" si="71"/>
        <v>ol5c03906</v>
      </c>
      <c r="D326">
        <f>IF(F326=1,"",IF(AND(D325="",S325=S326),"",S326-SUM(F$2:F325)))</f>
        <v>179</v>
      </c>
      <c r="E326" t="str">
        <f t="shared" si="72"/>
        <v>0</v>
      </c>
      <c r="F326">
        <v>0</v>
      </c>
      <c r="H326">
        <v>75</v>
      </c>
      <c r="I326">
        <v>166</v>
      </c>
      <c r="M326" t="str">
        <f t="shared" si="73"/>
        <v>/*179 ol5c03906 */"https://doi.org/10.1021/acs.orglett.5c03906.s002",//C‑4 Functional Group-Driven Stereodivergent Synthesis and Late-Stage Diversification of 6‑Deoxy l‑talo/gulo Rare Sugars</v>
      </c>
      <c r="N326" t="e">
        <f t="shared" si="74"/>
        <v>#N/A</v>
      </c>
      <c r="O326" t="b">
        <f t="shared" si="75"/>
        <v>0</v>
      </c>
      <c r="P326" s="13" t="s">
        <v>233</v>
      </c>
      <c r="Q326" s="13" t="s">
        <v>234</v>
      </c>
      <c r="R326" t="str">
        <f t="shared" si="76"/>
        <v>002</v>
      </c>
      <c r="S326">
        <f t="shared" si="82"/>
        <v>243</v>
      </c>
      <c r="T326" s="13" t="str">
        <f>VLOOKUP(Q326,original!B:C,2,FALSE)</f>
        <v>C‑4 Functional Group-Driven Stereodivergent Synthesis and Late-Stage Diversification of 6‑Deoxy l‑talo/gulo Rare Sugars</v>
      </c>
      <c r="U326" s="13" t="s">
        <v>235</v>
      </c>
      <c r="V326" t="str">
        <f t="shared" si="77"/>
        <v>ol5c03906</v>
      </c>
      <c r="W326" t="str">
        <f t="shared" si="78"/>
        <v>ol5c03906_si_002.zip</v>
      </c>
      <c r="X326" t="str">
        <f t="shared" si="79"/>
        <v>https://acs.figshare.com/articles/dataset/C_4_Functional_Group-Driven_Stereodivergent_Synthesis_and_Late-Stage_Diversification_of_6_Deoxy_l_talo_gulo_Rare_Sugars/30369422</v>
      </c>
      <c r="Y326" s="1" t="str">
        <f t="shared" si="83"/>
        <v>--localSource c:/temp/acs2/data --targetDir c:/temp/acs2/$DOI$ --noDownload --readOnly  --pubDOI https://doi.org/10.1021/acs.orglett.5c03906 --dataDOI "10.1021/acs.orglett.5c03906https://acs.figshare.com/articles/dataset/C_4_Functional_Group-Driven_Stereodivergent_Synthesis_and_Late-Stage_Diversification_of_6_Deoxy_l_talo_gulo_Rare_Sugars/30369422"</v>
      </c>
      <c r="Z326" t="str">
        <f t="shared" si="80"/>
        <v>&lt;br&gt;&lt;a href="https://doi.org/10.1021/acs.orglett.5c03906.s002"&gt;https://doi.org/10.1021/acs.orglett.5c03906.s002&lt;/a&gt;</v>
      </c>
      <c r="AA326" t="str">
        <f t="shared" si="81"/>
        <v/>
      </c>
    </row>
    <row r="327" spans="1:27" x14ac:dyDescent="0.35">
      <c r="A327">
        <v>326</v>
      </c>
      <c r="B327" s="5" t="str">
        <f t="shared" si="70"/>
        <v>ol5c04004</v>
      </c>
      <c r="C327" s="1" t="str">
        <f t="shared" si="71"/>
        <v>ol5c04004</v>
      </c>
      <c r="D327">
        <f>IF(F327=1,"",IF(AND(D326="",S326=S327),"",S327-SUM(F$2:F326)))</f>
        <v>180</v>
      </c>
      <c r="E327" t="str">
        <f t="shared" si="72"/>
        <v>0</v>
      </c>
      <c r="F327">
        <v>0</v>
      </c>
      <c r="H327">
        <v>28</v>
      </c>
      <c r="I327">
        <v>65</v>
      </c>
      <c r="M327" t="str">
        <f t="shared" si="73"/>
        <v>/*180 ol5c04004 */"https://doi.org/10.1021/acs.orglett.5c04004.s002",//Pd-Catalyzed Enantioselective Double C–H Activation and Transmetalation: Synthesis of 2‑Heteroaryl/aryl-Ferrocenealdehydes</v>
      </c>
      <c r="N327" t="e">
        <f t="shared" si="74"/>
        <v>#N/A</v>
      </c>
      <c r="O327" t="b">
        <f t="shared" si="75"/>
        <v>0</v>
      </c>
      <c r="P327" s="13" t="s">
        <v>222</v>
      </c>
      <c r="Q327" s="13" t="s">
        <v>223</v>
      </c>
      <c r="R327" t="str">
        <f t="shared" si="76"/>
        <v>002</v>
      </c>
      <c r="S327">
        <f t="shared" si="82"/>
        <v>244</v>
      </c>
      <c r="T327" s="13" t="str">
        <f>VLOOKUP(Q327,original!B:C,2,FALSE)</f>
        <v>Pd-Catalyzed Enantioselective Double C–H Activation and Transmetalation: Synthesis of 2‑Heteroaryl/aryl-Ferrocenealdehydes</v>
      </c>
      <c r="U327" s="13" t="s">
        <v>224</v>
      </c>
      <c r="V327" t="str">
        <f t="shared" si="77"/>
        <v>ol5c04004</v>
      </c>
      <c r="W327" t="str">
        <f t="shared" si="78"/>
        <v>ol5c04004_si_002.zip</v>
      </c>
      <c r="X327" t="str">
        <f t="shared" si="79"/>
        <v>https://acs.figshare.com/articles/dataset/Pd-Catalyzed_Enantioselective_Double_C_H_Activation_and_Transmetalation_Synthesis_of_2_Heteroaryl_aryl-Ferrocenealdehydes/30384659</v>
      </c>
      <c r="Y327" s="1" t="str">
        <f t="shared" si="83"/>
        <v>--localSource c:/temp/acs2/data --targetDir c:/temp/acs2/$DOI$ --noDownload --readOnly  --pubDOI https://doi.org/10.1021/acs.orglett.5c04004 --dataDOI "10.1021/acs.orglett.5c04004https://acs.figshare.com/articles/dataset/Pd-Catalyzed_Enantioselective_Double_C_H_Activation_and_Transmetalation_Synthesis_of_2_Heteroaryl_aryl-Ferrocenealdehydes/30384659"</v>
      </c>
      <c r="Z327" t="str">
        <f t="shared" si="80"/>
        <v>&lt;br&gt;&lt;a href="https://doi.org/10.1021/acs.orglett.5c04004.s002"&gt;https://doi.org/10.1021/acs.orglett.5c04004.s002&lt;/a&gt;</v>
      </c>
      <c r="AA327" t="str">
        <f t="shared" si="81"/>
        <v/>
      </c>
    </row>
    <row r="328" spans="1:27" x14ac:dyDescent="0.35">
      <c r="A328">
        <v>327</v>
      </c>
      <c r="B328" s="5" t="str">
        <f t="shared" si="70"/>
        <v>ol5c04043</v>
      </c>
      <c r="C328" s="1" t="str">
        <f t="shared" si="71"/>
        <v>#ol5c04043 xls</v>
      </c>
      <c r="D328" t="str">
        <f>IF(F328=1,"",IF(AND(D327="",S327=S328),"",S328-SUM(F$2:F327)))</f>
        <v/>
      </c>
      <c r="E328" t="str">
        <f t="shared" si="72"/>
        <v>0</v>
      </c>
      <c r="F328">
        <v>1</v>
      </c>
      <c r="G328" t="s">
        <v>1096</v>
      </c>
      <c r="M328" t="str">
        <f t="shared" si="73"/>
        <v/>
      </c>
      <c r="N328" t="str">
        <f t="shared" si="74"/>
        <v>ol5c04043_si_002.xls</v>
      </c>
      <c r="O328" t="b">
        <f t="shared" si="75"/>
        <v>1</v>
      </c>
      <c r="P328" s="13" t="s">
        <v>172</v>
      </c>
      <c r="Q328" s="13" t="s">
        <v>173</v>
      </c>
      <c r="R328" t="str">
        <f t="shared" si="76"/>
        <v>002</v>
      </c>
      <c r="S328">
        <f t="shared" si="82"/>
        <v>245</v>
      </c>
      <c r="T328" s="13" t="str">
        <f>VLOOKUP(Q328,original!B:C,2,FALSE)</f>
        <v>Metal-Free, Photoinduced On-DNA Synthesis of β‑Hydroxy Sulfides</v>
      </c>
      <c r="U328" s="13" t="s">
        <v>174</v>
      </c>
      <c r="V328" t="str">
        <f t="shared" si="77"/>
        <v>ol5c04043</v>
      </c>
      <c r="W328" t="str">
        <f t="shared" si="78"/>
        <v>ol5c04043_si_002.zip</v>
      </c>
      <c r="X328" t="str">
        <f t="shared" si="79"/>
        <v>https://acs.figshare.com/articles/dataset/Metal-Free_Photoinduced_On-DNA_Synthesis_of_Hydroxy_Sulfides/30518796</v>
      </c>
      <c r="Y328" s="1" t="str">
        <f t="shared" si="83"/>
        <v>--localSource c:/temp/acs2/data --targetDir c:/temp/acs2/$DOI$ --noDownload --readOnly  --pubDOI https://doi.org/10.1021/acs.orglett.5c04043 --dataDOI "10.1021/acs.orglett.5c04043https://acs.figshare.com/articles/dataset/Metal-Free_Photoinduced_On-DNA_Synthesis_of_Hydroxy_Sulfides/30518796"</v>
      </c>
      <c r="Z328" t="str">
        <f t="shared" si="80"/>
        <v>&lt;br&gt;&lt;a href="https://doi.org/10.1021/acs.orglett.5c04043.s002"&gt;https://doi.org/10.1021/acs.orglett.5c04043.s002&lt;/a&gt;</v>
      </c>
      <c r="AA328" t="str">
        <f t="shared" si="81"/>
        <v/>
      </c>
    </row>
    <row r="329" spans="1:27" x14ac:dyDescent="0.35">
      <c r="A329">
        <v>328</v>
      </c>
      <c r="B329" s="5" t="str">
        <f t="shared" si="70"/>
        <v>ol5c04126</v>
      </c>
      <c r="C329" s="1" t="str">
        <f t="shared" si="71"/>
        <v/>
      </c>
      <c r="D329" t="str">
        <f>IF(F329=1,"",IF(AND(D328="",S328=S329),"",S329-SUM(F$2:F328)))</f>
        <v/>
      </c>
      <c r="E329" t="str">
        <f t="shared" si="72"/>
        <v>0</v>
      </c>
      <c r="F329">
        <v>1</v>
      </c>
      <c r="G329" t="s">
        <v>1101</v>
      </c>
      <c r="M329" t="str">
        <f t="shared" si="73"/>
        <v/>
      </c>
      <c r="N329" t="str">
        <f t="shared" si="74"/>
        <v>ol5c04126_si_002.csv</v>
      </c>
      <c r="O329" t="b">
        <f t="shared" si="75"/>
        <v>1</v>
      </c>
      <c r="P329" s="13" t="s">
        <v>167</v>
      </c>
      <c r="Q329" s="13" t="s">
        <v>168</v>
      </c>
      <c r="R329" t="str">
        <f t="shared" si="76"/>
        <v>002</v>
      </c>
      <c r="S329">
        <f t="shared" si="82"/>
        <v>246</v>
      </c>
      <c r="T329" s="13" t="str">
        <f>VLOOKUP(Q329,original!B:C,2,FALSE)</f>
        <v>Bulky yet Flexible Alkyl Substituents at Remote Positions in Tertiary Phosphines: Synthesis and Catalytic Performance of the Phosphine Ligands in the Nickel-Catalyzed Suzuki–Miyaura Reaction</v>
      </c>
      <c r="U329" s="13" t="s">
        <v>166</v>
      </c>
      <c r="V329" t="str">
        <f t="shared" si="77"/>
        <v>ol5c04126</v>
      </c>
      <c r="W329" t="str">
        <f t="shared" si="78"/>
        <v>ol5c04126_si_002.zip</v>
      </c>
      <c r="X329" t="str">
        <f t="shared" si="79"/>
        <v>https://acs.figshare.com/articles/dataset/Bulky_yet_Flexible_Alkyl_Substituents_at_Remote_Positions_in_Tertiary_Phosphines_Synthesis_and_Catalytic_Performance_of_the_Phosphine_Ligands_in_the_Nickel-Catalyzed_Suzuki_Miyaura_Reaction/30572627</v>
      </c>
      <c r="Y329" s="1" t="str">
        <f t="shared" si="83"/>
        <v/>
      </c>
      <c r="Z329" t="str">
        <f t="shared" si="80"/>
        <v>&lt;br&gt;&lt;a href="https://doi.org/10.1021/acs.orglett.5c04126.s002"&gt;https://doi.org/10.1021/acs.orglett.5c04126.s002&lt;/a&gt;</v>
      </c>
      <c r="AA329" t="str">
        <f t="shared" si="81"/>
        <v/>
      </c>
    </row>
    <row r="330" spans="1:27" x14ac:dyDescent="0.35">
      <c r="A330">
        <v>329</v>
      </c>
      <c r="B330" s="5" t="str">
        <f t="shared" si="70"/>
        <v>ol5c04126</v>
      </c>
      <c r="C330" s="1" t="str">
        <f t="shared" si="71"/>
        <v>#ol5c04126 csv</v>
      </c>
      <c r="D330" t="str">
        <f>IF(F330=1,"",IF(AND(D329="",S329=S330),"",S330-SUM(F$2:F329)))</f>
        <v/>
      </c>
      <c r="E330" t="str">
        <f t="shared" si="72"/>
        <v>1</v>
      </c>
      <c r="F330">
        <v>0</v>
      </c>
      <c r="G330" t="s">
        <v>1101</v>
      </c>
      <c r="M330" t="str">
        <f t="shared" si="73"/>
        <v/>
      </c>
      <c r="N330" t="e">
        <f t="shared" si="74"/>
        <v>#N/A</v>
      </c>
      <c r="O330" t="b">
        <f t="shared" si="75"/>
        <v>0</v>
      </c>
      <c r="P330" s="13" t="s">
        <v>164</v>
      </c>
      <c r="Q330" s="13" t="s">
        <v>165</v>
      </c>
      <c r="R330" t="str">
        <f t="shared" si="76"/>
        <v>003</v>
      </c>
      <c r="S330">
        <f t="shared" si="82"/>
        <v>246</v>
      </c>
      <c r="T330" s="13" t="str">
        <f>VLOOKUP(Q330,original!B:C,2,FALSE)</f>
        <v>Bulky yet Flexible Alkyl Substituents at Remote Positions in Tertiary Phosphines: Synthesis and Catalytic Performance of the Phosphine Ligands in the Nickel-Catalyzed Suzuki–Miyaura Reaction</v>
      </c>
      <c r="U330" s="13" t="s">
        <v>166</v>
      </c>
      <c r="V330" t="str">
        <f t="shared" si="77"/>
        <v>ol5c04126</v>
      </c>
      <c r="W330" t="str">
        <f t="shared" si="78"/>
        <v>ol5c04126_si_003.zip</v>
      </c>
      <c r="X330" t="str">
        <f t="shared" si="79"/>
        <v>https://acs.figshare.com/articles/dataset/Bulky_yet_Flexible_Alkyl_Substituents_at_Remote_Positions_in_Tertiary_Phosphines_Synthesis_and_Catalytic_Performance_of_the_Phosphine_Ligands_in_the_Nickel-Catalyzed_Suzuki_Miyaura_Reaction/30572627\thttps://acs.figshare.com/articles/dataset/Bulky_yet_Flexible_Alkyl_Substituents_at_Remote_Positions_in_Tertiary_Phosphines_Synthesis_and_Catalytic_Performance_of_the_Phosphine_Ligands_in_the_Nickel-Catalyzed_Suzuki_Miyaura_Reaction/30572630</v>
      </c>
      <c r="Y330" s="1" t="str">
        <f t="shared" si="83"/>
        <v>--localSource c:/temp/acs2/data --targetDir c:/temp/acs2/$DOI$ --noDownload --readOnly  --pubDOI https://doi.org/10.1021/acs.orglett.5c04126 --dataDOI "10.1021/acs.orglett.5c04126https://acs.figshare.com/articles/dataset/Bulky_yet_Flexible_Alkyl_Substituents_at_Remote_Positions_in_Tertiary_Phosphines_Synthesis_and_Catalytic_Performance_of_the_Phosphine_Ligands_in_the_Nickel-Catalyzed_Suzuki_Miyaura_Reaction/30572627\thttps://acs.figshare.com/articles/dataset/Bulky_yet_Flexible_Alkyl_Substituents_at_Remote_Positions_in_Tertiary_Phosphines_Synthesis_and_Catalytic_Performance_of_the_Phosphine_Ligands_in_the_Nickel-Catalyzed_Suzuki_Miyaura_Reaction/30572630"</v>
      </c>
      <c r="Z330" t="str">
        <f t="shared" si="80"/>
        <v>&lt;br&gt;&lt;a href="https://doi.org/10.1021/acs.orglett.5c04126.s003"&gt;https://doi.org/10.1021/acs.orglett.5c04126.s003&lt;/a&gt;</v>
      </c>
      <c r="AA330" t="str">
        <f t="shared" si="81"/>
        <v/>
      </c>
    </row>
    <row r="331" spans="1:27" x14ac:dyDescent="0.35">
      <c r="A331">
        <v>330</v>
      </c>
      <c r="B331" s="5" t="str">
        <f t="shared" si="70"/>
        <v>ol5c04277</v>
      </c>
      <c r="C331" s="1" t="str">
        <f t="shared" si="71"/>
        <v/>
      </c>
      <c r="D331">
        <f>IF(F331=1,"",IF(AND(D330="",S330=S331),"",S331-SUM(F$2:F330)))</f>
        <v>181</v>
      </c>
      <c r="E331" t="str">
        <f t="shared" si="72"/>
        <v>0</v>
      </c>
      <c r="F331">
        <v>0</v>
      </c>
      <c r="M331" t="str">
        <f t="shared" si="73"/>
        <v>/*181 ol5c04277 */"https://doi.org/10.1021/acs.orglett.5c04277.s002",//Copper-Catalyzed Divergent C–S Bond Cleavage of Vinylsulfonium Salts: Controllable Phosphoryloxylation and Phosphinoylation</v>
      </c>
      <c r="N331" t="e">
        <f t="shared" si="74"/>
        <v>#N/A</v>
      </c>
      <c r="O331" t="b">
        <f t="shared" si="75"/>
        <v>0</v>
      </c>
      <c r="P331" s="13" t="s">
        <v>159</v>
      </c>
      <c r="Q331" s="13" t="s">
        <v>160</v>
      </c>
      <c r="R331" t="str">
        <f t="shared" si="76"/>
        <v>002</v>
      </c>
      <c r="S331">
        <f t="shared" si="82"/>
        <v>247</v>
      </c>
      <c r="T331" s="13" t="str">
        <f>VLOOKUP(Q331,original!B:C,2,FALSE)</f>
        <v>Copper-Catalyzed Divergent C–S Bond Cleavage of Vinylsulfonium Salts: Controllable Phosphoryloxylation and Phosphinoylation</v>
      </c>
      <c r="U331" s="13" t="s">
        <v>154</v>
      </c>
      <c r="V331" t="str">
        <f t="shared" si="77"/>
        <v>ol5c04277</v>
      </c>
      <c r="W331" t="str">
        <f t="shared" si="78"/>
        <v>ol5c04277_si_002.zip</v>
      </c>
      <c r="X331" t="str">
        <f t="shared" si="79"/>
        <v>https://acs.figshare.com/articles/dataset/Copper-Catalyzed_Divergent_C_S_Bond_Cleavage_of_Vinylsulfonium_Salts_Controllable_Phosphoryloxylation_and_Phosphinoylation/30634166</v>
      </c>
      <c r="Y331" s="1" t="str">
        <f t="shared" si="83"/>
        <v/>
      </c>
      <c r="Z331" t="str">
        <f t="shared" si="80"/>
        <v>&lt;br&gt;&lt;a href="https://doi.org/10.1021/acs.orglett.5c04277.s002"&gt;https://doi.org/10.1021/acs.orglett.5c04277.s002&lt;/a&gt;</v>
      </c>
      <c r="AA331" t="str">
        <f t="shared" si="81"/>
        <v/>
      </c>
    </row>
    <row r="332" spans="1:27" x14ac:dyDescent="0.35">
      <c r="A332">
        <v>331</v>
      </c>
      <c r="B332" s="5" t="str">
        <f t="shared" si="70"/>
        <v>ol5c04277</v>
      </c>
      <c r="C332" s="1" t="str">
        <f t="shared" si="71"/>
        <v/>
      </c>
      <c r="D332">
        <f>IF(F332=1,"",IF(AND(D331="",S331=S332),"",S332-SUM(F$2:F331)))</f>
        <v>181</v>
      </c>
      <c r="E332" t="str">
        <f t="shared" si="72"/>
        <v>1</v>
      </c>
      <c r="F332">
        <v>0</v>
      </c>
      <c r="M332" t="str">
        <f t="shared" si="73"/>
        <v>/*181 ol5c04277 */"https://doi.org/10.1021/acs.orglett.5c04277.s003",//Copper-Catalyzed Divergent C–S Bond Cleavage of Vinylsulfonium Salts: Controllable Phosphoryloxylation and Phosphinoylation</v>
      </c>
      <c r="N332" t="e">
        <f t="shared" si="74"/>
        <v>#N/A</v>
      </c>
      <c r="O332" t="b">
        <f t="shared" si="75"/>
        <v>0</v>
      </c>
      <c r="P332" s="13" t="s">
        <v>157</v>
      </c>
      <c r="Q332" s="13" t="s">
        <v>158</v>
      </c>
      <c r="R332" t="str">
        <f t="shared" si="76"/>
        <v>003</v>
      </c>
      <c r="S332">
        <f t="shared" si="82"/>
        <v>247</v>
      </c>
      <c r="T332" s="13" t="str">
        <f>VLOOKUP(Q332,original!B:C,2,FALSE)</f>
        <v>Copper-Catalyzed Divergent C–S Bond Cleavage of Vinylsulfonium Salts: Controllable Phosphoryloxylation and Phosphinoylation</v>
      </c>
      <c r="U332" s="13" t="s">
        <v>154</v>
      </c>
      <c r="V332" t="str">
        <f t="shared" si="77"/>
        <v>ol5c04277</v>
      </c>
      <c r="W332" t="str">
        <f t="shared" si="78"/>
        <v>ol5c04277_si_003.zip</v>
      </c>
      <c r="X332" t="str">
        <f t="shared" si="79"/>
        <v>https://acs.figshare.com/articles/dataset/Copper-Catalyzed_Divergent_C_S_Bond_Cleavage_of_Vinylsulfonium_Salts_Controllable_Phosphoryloxylation_and_Phosphinoylation/30634166\thttps://acs.figshare.com/articles/dataset/Copper-Catalyzed_Divergent_C_S_Bond_Cleavage_of_Vinylsulfonium_Salts_Controllable_Phosphoryloxylation_and_Phosphinoylation/30634169</v>
      </c>
      <c r="Y332" s="1" t="str">
        <f t="shared" si="83"/>
        <v/>
      </c>
      <c r="Z332" t="str">
        <f t="shared" si="80"/>
        <v>&lt;br&gt;&lt;a href="https://doi.org/10.1021/acs.orglett.5c04277.s003"&gt;https://doi.org/10.1021/acs.orglett.5c04277.s003&lt;/a&gt;</v>
      </c>
      <c r="AA332" t="str">
        <f t="shared" si="81"/>
        <v/>
      </c>
    </row>
    <row r="333" spans="1:27" x14ac:dyDescent="0.35">
      <c r="A333">
        <v>332</v>
      </c>
      <c r="B333" s="5" t="str">
        <f t="shared" si="70"/>
        <v>ol5c04277</v>
      </c>
      <c r="C333" s="1" t="str">
        <f t="shared" si="71"/>
        <v/>
      </c>
      <c r="D333">
        <f>IF(F333=1,"",IF(AND(D332="",S332=S333),"",S333-SUM(F$2:F332)))</f>
        <v>181</v>
      </c>
      <c r="E333" t="str">
        <f t="shared" si="72"/>
        <v>1</v>
      </c>
      <c r="F333">
        <v>0</v>
      </c>
      <c r="M333" t="str">
        <f t="shared" si="73"/>
        <v>/*181 ol5c04277 */"https://doi.org/10.1021/acs.orglett.5c04277.s004",//Copper-Catalyzed Divergent C–S Bond Cleavage of Vinylsulfonium Salts: Controllable Phosphoryloxylation and Phosphinoylation</v>
      </c>
      <c r="N333" t="e">
        <f t="shared" si="74"/>
        <v>#N/A</v>
      </c>
      <c r="O333" t="b">
        <f t="shared" si="75"/>
        <v>0</v>
      </c>
      <c r="P333" s="13" t="s">
        <v>155</v>
      </c>
      <c r="Q333" s="13" t="s">
        <v>156</v>
      </c>
      <c r="R333" t="str">
        <f t="shared" si="76"/>
        <v>004</v>
      </c>
      <c r="S333">
        <f t="shared" si="82"/>
        <v>247</v>
      </c>
      <c r="T333" s="13" t="str">
        <f>VLOOKUP(Q333,original!B:C,2,FALSE)</f>
        <v>Copper-Catalyzed Divergent C–S Bond Cleavage of Vinylsulfonium Salts: Controllable Phosphoryloxylation and Phosphinoylation</v>
      </c>
      <c r="U333" s="13" t="s">
        <v>154</v>
      </c>
      <c r="V333" t="str">
        <f t="shared" si="77"/>
        <v>ol5c04277</v>
      </c>
      <c r="W333" t="str">
        <f t="shared" si="78"/>
        <v>ol5c04277_si_004.zip</v>
      </c>
      <c r="X333" t="str">
        <f t="shared" si="79"/>
        <v>https://acs.figshare.com/articles/dataset/Copper-Catalyzed_Divergent_C_S_Bond_Cleavage_of_Vinylsulfonium_Salts_Controllable_Phosphoryloxylation_and_Phosphinoylation/30634166\thttps://acs.figshare.com/articles/dataset/Copper-Catalyzed_Divergent_C_S_Bond_Cleavage_of_Vinylsulfonium_Salts_Controllable_Phosphoryloxylation_and_Phosphinoylation/30634169\thttps://acs.figshare.com/articles/dataset/Copper-Catalyzed_Divergent_C_S_Bond_Cleavage_of_Vinylsulfonium_Salts_Controllable_Phosphoryloxylation_and_Phosphinoylation/30634172</v>
      </c>
      <c r="Y333" s="1" t="str">
        <f t="shared" si="83"/>
        <v/>
      </c>
      <c r="Z333" t="str">
        <f t="shared" si="80"/>
        <v>&lt;br&gt;&lt;a href="https://doi.org/10.1021/acs.orglett.5c04277.s004"&gt;https://doi.org/10.1021/acs.orglett.5c04277.s004&lt;/a&gt;</v>
      </c>
      <c r="AA333" t="str">
        <f t="shared" si="81"/>
        <v/>
      </c>
    </row>
    <row r="334" spans="1:27" x14ac:dyDescent="0.35">
      <c r="A334">
        <v>333</v>
      </c>
      <c r="B334" s="5" t="str">
        <f t="shared" si="70"/>
        <v>ol5c04277</v>
      </c>
      <c r="C334" s="1" t="str">
        <f t="shared" si="71"/>
        <v>ol5c04277</v>
      </c>
      <c r="D334">
        <f>IF(F334=1,"",IF(AND(D333="",S333=S334),"",S334-SUM(F$2:F333)))</f>
        <v>181</v>
      </c>
      <c r="E334" t="str">
        <f t="shared" si="72"/>
        <v>1</v>
      </c>
      <c r="F334">
        <v>0</v>
      </c>
      <c r="H334">
        <v>71</v>
      </c>
      <c r="I334">
        <v>199</v>
      </c>
      <c r="M334" t="str">
        <f t="shared" si="73"/>
        <v>/*181 ol5c04277 */"https://doi.org/10.1021/acs.orglett.5c04277.s005",//Copper-Catalyzed Divergent C–S Bond Cleavage of Vinylsulfonium Salts: Controllable Phosphoryloxylation and Phosphinoylation</v>
      </c>
      <c r="N334" t="e">
        <f t="shared" si="74"/>
        <v>#N/A</v>
      </c>
      <c r="O334" t="b">
        <f t="shared" si="75"/>
        <v>0</v>
      </c>
      <c r="P334" s="13" t="s">
        <v>152</v>
      </c>
      <c r="Q334" s="13" t="s">
        <v>153</v>
      </c>
      <c r="R334" t="str">
        <f t="shared" si="76"/>
        <v>005</v>
      </c>
      <c r="S334">
        <f t="shared" si="82"/>
        <v>247</v>
      </c>
      <c r="T334" s="13" t="str">
        <f>VLOOKUP(Q334,original!B:C,2,FALSE)</f>
        <v>Copper-Catalyzed Divergent C–S Bond Cleavage of Vinylsulfonium Salts: Controllable Phosphoryloxylation and Phosphinoylation</v>
      </c>
      <c r="U334" s="13" t="s">
        <v>154</v>
      </c>
      <c r="V334" t="str">
        <f t="shared" si="77"/>
        <v>ol5c04277</v>
      </c>
      <c r="W334" t="str">
        <f t="shared" si="78"/>
        <v>ol5c04277_si_005.zip</v>
      </c>
      <c r="X334" t="str">
        <f t="shared" si="79"/>
        <v>https://acs.figshare.com/articles/dataset/Copper-Catalyzed_Divergent_C_S_Bond_Cleavage_of_Vinylsulfonium_Salts_Controllable_Phosphoryloxylation_and_Phosphinoylation/30634166\thttps://acs.figshare.com/articles/dataset/Copper-Catalyzed_Divergent_C_S_Bond_Cleavage_of_Vinylsulfonium_Salts_Controllable_Phosphoryloxylation_and_Phosphinoylation/30634169\thttps://acs.figshare.com/articles/dataset/Copper-Catalyzed_Divergent_C_S_Bond_Cleavage_of_Vinylsulfonium_Salts_Controllable_Phosphoryloxylation_and_Phosphinoylation/30634172\thttps://acs.figshare.com/articles/dataset/Copper-Catalyzed_Divergent_C_S_Bond_Cleavage_of_Vinylsulfonium_Salts_Controllable_Phosphoryloxylation_and_Phosphinoylation/30634175</v>
      </c>
      <c r="Y334" s="1" t="str">
        <f t="shared" si="83"/>
        <v>--localSource c:/temp/acs2/data --targetDir c:/temp/acs2/$DOI$ --noDownload --readOnly  --pubDOI https://doi.org/10.1021/acs.orglett.5c04277 --dataDOI "10.1021/acs.orglett.5c04277https://acs.figshare.com/articles/dataset/Copper-Catalyzed_Divergent_C_S_Bond_Cleavage_of_Vinylsulfonium_Salts_Controllable_Phosphoryloxylation_and_Phosphinoylation/30634166\thttps://acs.figshare.com/articles/dataset/Copper-Catalyzed_Divergent_C_S_Bond_Cleavage_of_Vinylsulfonium_Salts_Controllable_Phosphoryloxylation_and_Phosphinoylation/30634169\thttps://acs.figshare.com/articles/dataset/Copper-Catalyzed_Divergent_C_S_Bond_Cleavage_of_Vinylsulfonium_Salts_Controllable_Phosphoryloxylation_and_Phosphinoylation/30634172\thttps://acs.figshare.com/articles/dataset/Copper-Catalyzed_Divergent_C_S_Bond_Cleavage_of_Vinylsulfonium_Salts_Controllable_Phosphoryloxylation_and_Phosphinoylation/30634175"</v>
      </c>
      <c r="Z334" t="str">
        <f t="shared" si="80"/>
        <v>&lt;br&gt;&lt;a href="https://doi.org/10.1021/acs.orglett.5c04277.s005"&gt;https://doi.org/10.1021/acs.orglett.5c04277.s005&lt;/a&gt;</v>
      </c>
      <c r="AA334" t="str">
        <f t="shared" si="81"/>
        <v/>
      </c>
    </row>
    <row r="335" spans="1:27" x14ac:dyDescent="0.35">
      <c r="A335">
        <v>334</v>
      </c>
      <c r="B335" s="5" t="str">
        <f t="shared" si="70"/>
        <v>ol5c04292</v>
      </c>
      <c r="C335" s="1" t="str">
        <f t="shared" si="71"/>
        <v>#ol5c04292 xyz</v>
      </c>
      <c r="D335" t="str">
        <f>IF(F335=1,"",IF(AND(D334="",S334=S335),"",S335-SUM(F$2:F334)))</f>
        <v/>
      </c>
      <c r="E335" t="str">
        <f t="shared" si="72"/>
        <v>0</v>
      </c>
      <c r="F335">
        <v>1</v>
      </c>
      <c r="G335" t="s">
        <v>1097</v>
      </c>
      <c r="M335" t="str">
        <f t="shared" si="73"/>
        <v/>
      </c>
      <c r="N335" t="str">
        <f t="shared" si="74"/>
        <v>ol5c04292_si_002.xyz</v>
      </c>
      <c r="O335" t="b">
        <f t="shared" si="75"/>
        <v>1</v>
      </c>
      <c r="P335" s="13" t="s">
        <v>80</v>
      </c>
      <c r="Q335" s="13" t="s">
        <v>81</v>
      </c>
      <c r="R335" t="str">
        <f t="shared" si="76"/>
        <v>002</v>
      </c>
      <c r="S335">
        <f t="shared" si="82"/>
        <v>248</v>
      </c>
      <c r="T335" s="13" t="str">
        <f>VLOOKUP(Q335,original!B:C,2,FALSE)</f>
        <v>Heterocyclic Tridentate Ligands for Effective Alkyne Metathesis</v>
      </c>
      <c r="U335" s="13" t="s">
        <v>83</v>
      </c>
      <c r="V335" t="str">
        <f t="shared" si="77"/>
        <v>ol5c04292</v>
      </c>
      <c r="W335" t="str">
        <f t="shared" si="78"/>
        <v>ol5c04292_si_002.zip</v>
      </c>
      <c r="X335" t="str">
        <f t="shared" si="79"/>
        <v>https://acs.figshare.com/articles/dataset/Heterocyclic_Tridentate_Ligands_for_Effective_Alkyne_Metathesis/30858225</v>
      </c>
      <c r="Y335" s="1" t="str">
        <f t="shared" si="83"/>
        <v>--localSource c:/temp/acs2/data --targetDir c:/temp/acs2/$DOI$ --noDownload --readOnly  --pubDOI https://doi.org/10.1021/acs.orglett.5c04292 --dataDOI "10.1021/acs.orglett.5c04292https://acs.figshare.com/articles/dataset/Heterocyclic_Tridentate_Ligands_for_Effective_Alkyne_Metathesis/30858225"</v>
      </c>
      <c r="Z335" t="str">
        <f t="shared" si="80"/>
        <v>&lt;br&gt;&lt;a href="https://doi.org/10.1021/acs.orglett.5c04292.s002"&gt;https://doi.org/10.1021/acs.orglett.5c04292.s002&lt;/a&gt;</v>
      </c>
      <c r="AA335" t="str">
        <f t="shared" si="81"/>
        <v/>
      </c>
    </row>
    <row r="336" spans="1:27" x14ac:dyDescent="0.35">
      <c r="A336">
        <v>335</v>
      </c>
      <c r="B336" s="5" t="str">
        <f t="shared" si="70"/>
        <v>ol5c04403</v>
      </c>
      <c r="C336" s="1" t="str">
        <f t="shared" si="71"/>
        <v>ol5c04403</v>
      </c>
      <c r="D336">
        <f>IF(F336=1,"",IF(AND(D335="",S335=S336),"",S336-SUM(F$2:F335)))</f>
        <v>182</v>
      </c>
      <c r="E336" t="str">
        <f t="shared" si="72"/>
        <v>0</v>
      </c>
      <c r="F336">
        <v>0</v>
      </c>
      <c r="H336">
        <v>47</v>
      </c>
      <c r="I336">
        <v>97</v>
      </c>
      <c r="M336" t="str">
        <f t="shared" si="73"/>
        <v>/*182 ol5c04403 */"https://doi.org/10.1021/acs.orglett.5c04403.s001",//Visible-Light-Promoted Catalytic Redox-Neutral Alkynylation of Alkyl Boronic Acids/Boronates</v>
      </c>
      <c r="N336" t="e">
        <f t="shared" si="74"/>
        <v>#N/A</v>
      </c>
      <c r="O336" t="b">
        <f t="shared" si="75"/>
        <v>0</v>
      </c>
      <c r="P336" s="13" t="s">
        <v>51</v>
      </c>
      <c r="Q336" s="13" t="s">
        <v>52</v>
      </c>
      <c r="R336" t="str">
        <f t="shared" si="76"/>
        <v>001</v>
      </c>
      <c r="S336">
        <f t="shared" si="82"/>
        <v>249</v>
      </c>
      <c r="T336" s="13" t="str">
        <f>VLOOKUP(Q336,original!B:C,2,FALSE)</f>
        <v>Visible-Light-Promoted Catalytic Redox-Neutral Alkynylation of Alkyl Boronic Acids/Boronates</v>
      </c>
      <c r="U336" s="14" t="s">
        <v>54</v>
      </c>
      <c r="V336" t="str">
        <f t="shared" si="77"/>
        <v>ol5c04403</v>
      </c>
      <c r="W336" t="str">
        <f t="shared" si="78"/>
        <v>ol5c04403_si_001.zip</v>
      </c>
      <c r="X336" t="str">
        <f t="shared" si="79"/>
        <v>https://acs.figshare.com/articles/dataset/Visible-Light-Promoted_Catalytic_Redox-Neutral_Alkynylation_of_Alkyl_Boronic_Acids_Boronates/30918129</v>
      </c>
      <c r="Y336" s="1" t="str">
        <f t="shared" si="83"/>
        <v>--localSource c:/temp/acs2/data --targetDir c:/temp/acs2/$DOI$ --noDownload --readOnly  --pubDOI https://doi.org/10.1021/acs.orglett.5c04403 --dataDOI "10.1021/acs.orglett.5c04403https://acs.figshare.com/articles/dataset/Visible-Light-Promoted_Catalytic_Redox-Neutral_Alkynylation_of_Alkyl_Boronic_Acids_Boronates/30918129"</v>
      </c>
      <c r="Z336" t="str">
        <f t="shared" si="80"/>
        <v>&lt;br&gt;&lt;a href="https://doi.org/10.1021/acs.orglett.5c04403.s001"&gt;https://doi.org/10.1021/acs.orglett.5c04403.s001&lt;/a&gt;</v>
      </c>
      <c r="AA336" t="str">
        <f t="shared" si="81"/>
        <v/>
      </c>
    </row>
    <row r="337" spans="1:27" x14ac:dyDescent="0.35">
      <c r="A337">
        <v>336</v>
      </c>
      <c r="B337" s="5" t="str">
        <f t="shared" si="70"/>
        <v>ol5c04431</v>
      </c>
      <c r="C337" s="1" t="str">
        <f t="shared" si="71"/>
        <v>#ol5c04431 xyz</v>
      </c>
      <c r="D337" t="str">
        <f>IF(F337=1,"",IF(AND(D336="",S336=S337),"",S337-SUM(F$2:F336)))</f>
        <v/>
      </c>
      <c r="E337" t="str">
        <f t="shared" si="72"/>
        <v>0</v>
      </c>
      <c r="F337">
        <v>1</v>
      </c>
      <c r="G337" t="s">
        <v>1097</v>
      </c>
      <c r="M337" t="str">
        <f t="shared" si="73"/>
        <v/>
      </c>
      <c r="N337" t="str">
        <f t="shared" si="74"/>
        <v>ol5c04431_si_002.xyz</v>
      </c>
      <c r="O337" t="b">
        <f t="shared" si="75"/>
        <v>1</v>
      </c>
      <c r="P337" s="13" t="s">
        <v>94</v>
      </c>
      <c r="Q337" s="13" t="s">
        <v>95</v>
      </c>
      <c r="R337" t="str">
        <f t="shared" si="76"/>
        <v>002</v>
      </c>
      <c r="S337">
        <f t="shared" si="82"/>
        <v>250</v>
      </c>
      <c r="T337" s="13" t="str">
        <f>VLOOKUP(Q337,original!B:C,2,FALSE)</f>
        <v>Synthesis of Benzarsoles by Arsenic Cation-Mediated Formal [3 + 2]-Cycloaddition with Alkynes</v>
      </c>
      <c r="U337" s="13" t="s">
        <v>97</v>
      </c>
      <c r="V337" t="str">
        <f t="shared" si="77"/>
        <v>ol5c04431</v>
      </c>
      <c r="W337" t="str">
        <f t="shared" si="78"/>
        <v>ol5c04431_si_002.zip</v>
      </c>
      <c r="X337" t="str">
        <f t="shared" si="79"/>
        <v>https://acs.figshare.com/articles/dataset/Synthesis_of_Benzarsoles_by_Arsenic_Cation-Mediated_Formal_3_2_-Cycloaddition_with_Alkynes/30796264</v>
      </c>
      <c r="Y337" s="1" t="str">
        <f t="shared" si="83"/>
        <v>--localSource c:/temp/acs2/data --targetDir c:/temp/acs2/$DOI$ --noDownload --readOnly  --pubDOI https://doi.org/10.1021/acs.orglett.5c04431 --dataDOI "10.1021/acs.orglett.5c04431https://acs.figshare.com/articles/dataset/Synthesis_of_Benzarsoles_by_Arsenic_Cation-Mediated_Formal_3_2_-Cycloaddition_with_Alkynes/30796264"</v>
      </c>
      <c r="Z337" t="str">
        <f t="shared" si="80"/>
        <v>&lt;br&gt;&lt;a href="https://doi.org/10.1021/acs.orglett.5c04431.s002"&gt;https://doi.org/10.1021/acs.orglett.5c04431.s002&lt;/a&gt;</v>
      </c>
      <c r="AA337" t="str">
        <f t="shared" si="81"/>
        <v/>
      </c>
    </row>
    <row r="338" spans="1:27" x14ac:dyDescent="0.35">
      <c r="A338">
        <v>337</v>
      </c>
      <c r="B338" s="5" t="str">
        <f t="shared" si="70"/>
        <v>ol5c04507</v>
      </c>
      <c r="C338" s="1" t="str">
        <f t="shared" si="71"/>
        <v>ol5c04507</v>
      </c>
      <c r="D338">
        <f>IF(F338=1,"",IF(AND(D337="",S337=S338),"",S338-SUM(F$2:F337)))</f>
        <v>183</v>
      </c>
      <c r="E338" t="str">
        <f t="shared" si="72"/>
        <v>0</v>
      </c>
      <c r="F338">
        <v>0</v>
      </c>
      <c r="H338">
        <v>33</v>
      </c>
      <c r="I338">
        <v>102</v>
      </c>
      <c r="M338" t="str">
        <f t="shared" si="73"/>
        <v>/*183 ol5c04507 */"https://doi.org/10.1021/acs.orglett.5c04507.s002",//Photoredox/Nickel Dual-Catalyzed Asymmetric C‑Alkylation of Nitroalkanes with α‑Bromoketones</v>
      </c>
      <c r="N338" t="e">
        <f t="shared" si="74"/>
        <v>#N/A</v>
      </c>
      <c r="O338" t="b">
        <f t="shared" si="75"/>
        <v>0</v>
      </c>
      <c r="P338" s="13" t="s">
        <v>84</v>
      </c>
      <c r="Q338" s="13" t="s">
        <v>85</v>
      </c>
      <c r="R338" t="str">
        <f t="shared" si="76"/>
        <v>002</v>
      </c>
      <c r="S338">
        <f t="shared" si="82"/>
        <v>251</v>
      </c>
      <c r="T338" s="13" t="str">
        <f>VLOOKUP(Q338,original!B:C,2,FALSE)</f>
        <v>Photoredox/Nickel Dual-Catalyzed Asymmetric C‑Alkylation of Nitroalkanes with α‑Bromoketones</v>
      </c>
      <c r="U338" s="13" t="s">
        <v>86</v>
      </c>
      <c r="V338" t="str">
        <f t="shared" si="77"/>
        <v>ol5c04507</v>
      </c>
      <c r="W338" t="str">
        <f t="shared" si="78"/>
        <v>ol5c04507_si_002.zip</v>
      </c>
      <c r="X338" t="str">
        <f t="shared" si="79"/>
        <v>https://acs.figshare.com/articles/dataset/Photoredox_Nickel_Dual-Catalyzed_Asymmetric_C_Alkylation_of_Nitroalkanes_with_Bromoketones/30826633</v>
      </c>
      <c r="Y338" s="1" t="str">
        <f t="shared" si="83"/>
        <v>--localSource c:/temp/acs2/data --targetDir c:/temp/acs2/$DOI$ --noDownload --readOnly  --pubDOI https://doi.org/10.1021/acs.orglett.5c04507 --dataDOI "10.1021/acs.orglett.5c04507https://acs.figshare.com/articles/dataset/Photoredox_Nickel_Dual-Catalyzed_Asymmetric_C_Alkylation_of_Nitroalkanes_with_Bromoketones/30826633"</v>
      </c>
      <c r="Z338" t="str">
        <f t="shared" si="80"/>
        <v>&lt;br&gt;&lt;a href="https://doi.org/10.1021/acs.orglett.5c04507.s002"&gt;https://doi.org/10.1021/acs.orglett.5c04507.s002&lt;/a&gt;</v>
      </c>
      <c r="AA338" t="str">
        <f t="shared" si="81"/>
        <v/>
      </c>
    </row>
    <row r="339" spans="1:27" x14ac:dyDescent="0.35">
      <c r="A339">
        <v>338</v>
      </c>
      <c r="B339" s="5" t="str">
        <f t="shared" si="70"/>
        <v>ol5c04570</v>
      </c>
      <c r="C339" s="1" t="str">
        <f t="shared" si="71"/>
        <v>#ol5c04570 xls</v>
      </c>
      <c r="D339" t="str">
        <f>IF(F339=1,"",IF(AND(D338="",S338=S339),"",S339-SUM(F$2:F338)))</f>
        <v/>
      </c>
      <c r="E339" t="str">
        <f t="shared" si="72"/>
        <v>0</v>
      </c>
      <c r="F339">
        <v>1</v>
      </c>
      <c r="G339" t="s">
        <v>1096</v>
      </c>
      <c r="M339" t="str">
        <f t="shared" si="73"/>
        <v/>
      </c>
      <c r="N339" t="str">
        <f t="shared" si="74"/>
        <v>ol5c04570_si_002.xls</v>
      </c>
      <c r="O339" t="b">
        <f t="shared" si="75"/>
        <v>1</v>
      </c>
      <c r="P339" s="13" t="s">
        <v>87</v>
      </c>
      <c r="Q339" s="13" t="s">
        <v>88</v>
      </c>
      <c r="R339" t="str">
        <f t="shared" si="76"/>
        <v>002</v>
      </c>
      <c r="S339">
        <f t="shared" si="82"/>
        <v>252</v>
      </c>
      <c r="T339" s="13" t="str">
        <f>VLOOKUP(Q339,original!B:C,2,FALSE)</f>
        <v>Cosolvent Effects Question the Role of Water in Native Chemical Ligation</v>
      </c>
      <c r="U339" s="13" t="s">
        <v>90</v>
      </c>
      <c r="V339" t="str">
        <f t="shared" si="77"/>
        <v>ol5c04570</v>
      </c>
      <c r="W339" t="str">
        <f t="shared" si="78"/>
        <v>ol5c04570_si_002.zip</v>
      </c>
      <c r="X339" t="str">
        <f t="shared" si="79"/>
        <v>https://acs.figshare.com/articles/dataset/Cosolvent_Effects_Question_the_Role_of_Water_in_Native_Chemical_Ligation/30820209</v>
      </c>
      <c r="Y339" s="1" t="str">
        <f t="shared" si="83"/>
        <v>--localSource c:/temp/acs2/data --targetDir c:/temp/acs2/$DOI$ --noDownload --readOnly  --pubDOI https://doi.org/10.1021/acs.orglett.5c04570 --dataDOI "10.1021/acs.orglett.5c04570https://acs.figshare.com/articles/dataset/Cosolvent_Effects_Question_the_Role_of_Water_in_Native_Chemical_Ligation/30820209"</v>
      </c>
      <c r="Z339" t="str">
        <f t="shared" si="80"/>
        <v>&lt;br&gt;&lt;a href="https://doi.org/10.1021/acs.orglett.5c04570.s002"&gt;https://doi.org/10.1021/acs.orglett.5c04570.s002&lt;/a&gt;</v>
      </c>
      <c r="AA339" t="str">
        <f t="shared" si="81"/>
        <v/>
      </c>
    </row>
    <row r="340" spans="1:27" x14ac:dyDescent="0.35">
      <c r="A340">
        <v>339</v>
      </c>
      <c r="B340" s="5" t="str">
        <f t="shared" si="70"/>
        <v>ol5c04669</v>
      </c>
      <c r="C340" s="1" t="str">
        <f t="shared" si="71"/>
        <v>#ol5c04669 xls</v>
      </c>
      <c r="D340" t="str">
        <f>IF(F340=1,"",IF(AND(D339="",S339=S340),"",S340-SUM(F$2:F339)))</f>
        <v/>
      </c>
      <c r="E340" t="str">
        <f t="shared" si="72"/>
        <v>0</v>
      </c>
      <c r="F340">
        <v>1</v>
      </c>
      <c r="G340" t="s">
        <v>1096</v>
      </c>
      <c r="M340" t="str">
        <f t="shared" si="73"/>
        <v/>
      </c>
      <c r="N340" t="str">
        <f t="shared" si="74"/>
        <v>ol5c04669_si_002.xls</v>
      </c>
      <c r="O340" t="b">
        <f t="shared" si="75"/>
        <v>1</v>
      </c>
      <c r="P340" s="13" t="s">
        <v>26</v>
      </c>
      <c r="Q340" s="13" t="s">
        <v>27</v>
      </c>
      <c r="R340" t="str">
        <f t="shared" si="76"/>
        <v>002</v>
      </c>
      <c r="S340">
        <f t="shared" si="82"/>
        <v>253</v>
      </c>
      <c r="T340" s="13" t="str">
        <f>VLOOKUP(Q340,original!B:C,2,FALSE)</f>
        <v>Triarylboranes Bearing (ortho-Carboran-1-yl)aryl Groups for Catalytic Hydrogenation with Pure or Crude H2</v>
      </c>
      <c r="U340" s="13" t="s">
        <v>29</v>
      </c>
      <c r="V340" t="str">
        <f t="shared" si="77"/>
        <v>ol5c04669</v>
      </c>
      <c r="W340" t="str">
        <f t="shared" si="78"/>
        <v>ol5c04669_si_002.zip</v>
      </c>
      <c r="X340" t="str">
        <f t="shared" si="79"/>
        <v>https://acs.figshare.com/articles/dataset/Triarylboranes_Bearing_ortho-Carboran-1-yl_aryl_Groups_for_Catalytic_Hydrogenation_with_Pure_or_Crude_H_sub_2_sub_/30954135</v>
      </c>
      <c r="Y340" s="1" t="str">
        <f t="shared" si="83"/>
        <v>--localSource c:/temp/acs2/data --targetDir c:/temp/acs2/$DOI$ --noDownload --readOnly  --pubDOI https://doi.org/10.1021/acs.orglett.5c04669 --dataDOI "10.1021/acs.orglett.5c04669https://acs.figshare.com/articles/dataset/Triarylboranes_Bearing_ortho-Carboran-1-yl_aryl_Groups_for_Catalytic_Hydrogenation_with_Pure_or_Crude_H_sub_2_sub_/30954135"</v>
      </c>
      <c r="Z340" t="str">
        <f t="shared" si="80"/>
        <v>&lt;br&gt;&lt;a href="https://doi.org/10.1021/acs.orglett.5c04669.s002"&gt;https://doi.org/10.1021/acs.orglett.5c04669.s002&lt;/a&gt;</v>
      </c>
      <c r="AA340" t="str">
        <f t="shared" si="81"/>
        <v/>
      </c>
    </row>
    <row r="341" spans="1:27" x14ac:dyDescent="0.35">
      <c r="A341">
        <v>340</v>
      </c>
      <c r="B341" s="5" t="str">
        <f t="shared" si="70"/>
        <v>ol5c04750</v>
      </c>
      <c r="C341" s="1" t="str">
        <f t="shared" si="71"/>
        <v>ol5c04750</v>
      </c>
      <c r="D341">
        <f>IF(F341=1,"",IF(AND(D340="",S340=S341),"",S341-SUM(F$2:F340)))</f>
        <v>184</v>
      </c>
      <c r="E341" t="str">
        <f t="shared" si="72"/>
        <v>0</v>
      </c>
      <c r="F341">
        <v>0</v>
      </c>
      <c r="H341">
        <v>118</v>
      </c>
      <c r="I341">
        <v>205</v>
      </c>
      <c r="M341" t="str">
        <f t="shared" si="73"/>
        <v>/*184 ol5c04750 */"https://doi.org/10.1021/acs.orglett.5c04750.s002",//Synthesis of Carborane-Fused Lactones via Electrochemical C(sp3)–H Lactonization: Access to Benzofused Lactone Bioisosteres</v>
      </c>
      <c r="N341" t="e">
        <f t="shared" si="74"/>
        <v>#N/A</v>
      </c>
      <c r="O341" t="b">
        <f t="shared" si="75"/>
        <v>0</v>
      </c>
      <c r="P341" s="13" t="s">
        <v>33</v>
      </c>
      <c r="Q341" s="13" t="s">
        <v>34</v>
      </c>
      <c r="R341" t="str">
        <f t="shared" si="76"/>
        <v>002</v>
      </c>
      <c r="S341">
        <f t="shared" si="82"/>
        <v>254</v>
      </c>
      <c r="T341" s="13" t="str">
        <f>VLOOKUP(Q341,original!B:C,2,FALSE)</f>
        <v>Synthesis of Carborane-Fused Lactones via Electrochemical C(sp3)–H Lactonization: Access to Benzofused Lactone Bioisosteres</v>
      </c>
      <c r="U341" s="13" t="s">
        <v>35</v>
      </c>
      <c r="V341" t="str">
        <f t="shared" si="77"/>
        <v>ol5c04750</v>
      </c>
      <c r="W341" t="str">
        <f t="shared" si="78"/>
        <v>ol5c04750_si_002.zip</v>
      </c>
      <c r="X341" t="str">
        <f t="shared" si="79"/>
        <v>https://acs.figshare.com/articles/dataset/Synthesis_of_Carborane-Fused_Lactones_via_Electrochemical_C_sp_sup_3_sup_H_Lactonization_Access_to_Benzofused_Lactone_Bioisosteres/30946290</v>
      </c>
      <c r="Y341" s="1" t="str">
        <f t="shared" si="83"/>
        <v>--localSource c:/temp/acs2/data --targetDir c:/temp/acs2/$DOI$ --noDownload --readOnly  --pubDOI https://doi.org/10.1021/acs.orglett.5c04750 --dataDOI "10.1021/acs.orglett.5c04750https://acs.figshare.com/articles/dataset/Synthesis_of_Carborane-Fused_Lactones_via_Electrochemical_C_sp_sup_3_sup_H_Lactonization_Access_to_Benzofused_Lactone_Bioisosteres/30946290"</v>
      </c>
      <c r="Z341" t="str">
        <f t="shared" si="80"/>
        <v>&lt;br&gt;&lt;a href="https://doi.org/10.1021/acs.orglett.5c04750.s002"&gt;https://doi.org/10.1021/acs.orglett.5c04750.s002&lt;/a&gt;</v>
      </c>
      <c r="AA341" t="str">
        <f t="shared" si="81"/>
        <v/>
      </c>
    </row>
    <row r="342" spans="1:27" x14ac:dyDescent="0.35">
      <c r="A342">
        <v>341</v>
      </c>
      <c r="B342" s="5" t="str">
        <f t="shared" si="70"/>
        <v>ol5c04969</v>
      </c>
      <c r="C342" s="1" t="str">
        <f t="shared" si="71"/>
        <v>ol5c04969</v>
      </c>
      <c r="D342">
        <f>IF(F342=1,"",IF(AND(D341="",S341=S342),"",S342-SUM(F$2:F341)))</f>
        <v>185</v>
      </c>
      <c r="E342" t="str">
        <f t="shared" si="72"/>
        <v>0</v>
      </c>
      <c r="F342">
        <v>0</v>
      </c>
      <c r="H342">
        <v>46</v>
      </c>
      <c r="I342">
        <v>138</v>
      </c>
      <c r="M342" t="str">
        <f t="shared" si="73"/>
        <v>/*185 ol5c04969 */"https://doi.org/10.1021/acs.orglett.5c04969.s001",//Access to Alkylative/Hydrodefluorination of Trifluoromethyl Ketones Using Photoexcited Dihydropyridines</v>
      </c>
      <c r="N342" t="e">
        <f t="shared" si="74"/>
        <v>#N/A</v>
      </c>
      <c r="O342" t="b">
        <f t="shared" si="75"/>
        <v>0</v>
      </c>
      <c r="P342" s="13" t="s">
        <v>7</v>
      </c>
      <c r="Q342" s="13" t="s">
        <v>8</v>
      </c>
      <c r="R342" t="str">
        <f t="shared" si="76"/>
        <v>001</v>
      </c>
      <c r="S342">
        <f t="shared" si="82"/>
        <v>255</v>
      </c>
      <c r="T342" s="13" t="str">
        <f>VLOOKUP(Q342,original!B:C,2,FALSE)</f>
        <v>Access to Alkylative/Hydrodefluorination of Trifluoromethyl Ketones Using Photoexcited Dihydropyridines</v>
      </c>
      <c r="U342" s="13" t="s">
        <v>10</v>
      </c>
      <c r="V342" t="str">
        <f t="shared" si="77"/>
        <v>ol5c04969</v>
      </c>
      <c r="W342" t="str">
        <f t="shared" si="78"/>
        <v>ol5c04969_si_001.zip</v>
      </c>
      <c r="X342" t="str">
        <f t="shared" si="79"/>
        <v>https://acs.figshare.com/articles/dataset/Access_to_Alkylative_Hydrodefluorination_of_Trifluoromethyl_Ketones_Using_Photoexcited_Dihydropyridines/30977058</v>
      </c>
      <c r="Y342" s="1" t="str">
        <f t="shared" si="83"/>
        <v>--localSource c:/temp/acs2/data --targetDir c:/temp/acs2/$DOI$ --noDownload --readOnly  --pubDOI https://doi.org/10.1021/acs.orglett.5c04969 --dataDOI "10.1021/acs.orglett.5c04969https://acs.figshare.com/articles/dataset/Access_to_Alkylative_Hydrodefluorination_of_Trifluoromethyl_Ketones_Using_Photoexcited_Dihydropyridines/30977058"</v>
      </c>
      <c r="Z342" t="str">
        <f t="shared" si="80"/>
        <v>&lt;br&gt;&lt;a href="https://doi.org/10.1021/acs.orglett.5c04969.s001"&gt;https://doi.org/10.1021/acs.orglett.5c04969.s001&lt;/a&gt;</v>
      </c>
      <c r="AA342" t="str">
        <f t="shared" si="81"/>
        <v/>
      </c>
    </row>
    <row r="347" spans="1:27" x14ac:dyDescent="0.35">
      <c r="H347">
        <f>SUM(H2:H345)</f>
        <v>8641</v>
      </c>
      <c r="I347">
        <f>SUM(I2:I345)</f>
        <v>16450</v>
      </c>
      <c r="J347">
        <f>SUM(J2:J345)</f>
        <v>1157</v>
      </c>
    </row>
  </sheetData>
  <autoFilter ref="A1:Z342" xr:uid="{70CF0AB0-41E7-424C-80DD-B16F3E24796D}"/>
  <sortState xmlns:xlrd2="http://schemas.microsoft.com/office/spreadsheetml/2017/richdata2" ref="A2:Y342">
    <sortCondition ref="Q2:Q342"/>
  </sortState>
  <hyperlinks>
    <hyperlink ref="Q189" r:id="rId1" xr:uid="{CBA50DD1-F12B-40E4-AB56-1CC248BFFB5A}"/>
    <hyperlink ref="P62" r:id="rId2" xr:uid="{3438DF0F-5ECA-443D-AFCF-67E521664D1E}"/>
    <hyperlink ref="U336" r:id="rId3" xr:uid="{CBDC4472-ECC1-4E37-949B-4ECE98E154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DA52-1EB8-4039-8B1E-0328ABBD434C}">
  <dimension ref="A1:AD199"/>
  <sheetViews>
    <sheetView topLeftCell="A80" workbookViewId="0">
      <selection activeCell="C83" sqref="C83"/>
    </sheetView>
  </sheetViews>
  <sheetFormatPr defaultRowHeight="14.5" x14ac:dyDescent="0.35"/>
  <cols>
    <col min="1" max="1" width="25" style="11" customWidth="1"/>
    <col min="2" max="2" width="6.6328125" style="10" customWidth="1"/>
    <col min="3" max="4" width="11.26953125" style="10" customWidth="1"/>
    <col min="5" max="5" width="81.1796875" style="11" customWidth="1"/>
    <col min="6" max="6" width="63.6328125" style="11" customWidth="1"/>
    <col min="7" max="7" width="59.1796875" style="11" customWidth="1"/>
  </cols>
  <sheetData>
    <row r="1" spans="1:30" x14ac:dyDescent="0.35">
      <c r="A1" s="11" t="s">
        <v>1731</v>
      </c>
      <c r="B1" s="10">
        <f>SUM(B2:B200)</f>
        <v>113</v>
      </c>
      <c r="C1" s="10" t="s">
        <v>1058</v>
      </c>
      <c r="D1" s="10" t="s">
        <v>2286</v>
      </c>
      <c r="E1" s="11" t="s">
        <v>1730</v>
      </c>
      <c r="F1" s="11" t="s">
        <v>2232</v>
      </c>
      <c r="G1" s="11" t="s">
        <v>2230</v>
      </c>
    </row>
    <row r="2" spans="1:30" ht="72.5" x14ac:dyDescent="0.35">
      <c r="A2" s="11" t="s">
        <v>1732</v>
      </c>
      <c r="C2" s="10" t="s">
        <v>1299</v>
      </c>
      <c r="D2" s="10">
        <f>VLOOKUP(C2,'OL-JOC - DOI details-from-figsh'!C:H,6,FALSE)</f>
        <v>38</v>
      </c>
      <c r="E2" s="11" t="s">
        <v>1300</v>
      </c>
      <c r="F2" s="11" t="str">
        <f>IF(G2=E2,"",G2)</f>
        <v/>
      </c>
      <c r="G2" s="11" t="str">
        <f>VLOOKUP(C2,H:I,2,FALSE)</f>
        <v>16;18a-FID;18b-FID;18c-FID;18f-FID;18g-FID;18h-FID;18j-FID;18k-FID;18l-FID;18m-FID;18n-FID;19aa-FID;20aa-FID;20ab-FID;20af-FID;20ai-FID;20bb-FID;20cc-FID;20dd-FID;20ee-FID;20ff-FID;20gg-FID;20hh-FID;21aaa-FID;21acc-FID;22;23;24a-FID;24b-FID;24c-FID;24f-FID;24g-FID;24h-FID;24i-FID;24j-FID;24l-FID;24o-FID;24p-FID;27-FID</v>
      </c>
      <c r="H2" t="s">
        <v>1299</v>
      </c>
      <c r="I2" t="s">
        <v>1300</v>
      </c>
    </row>
    <row r="3" spans="1:30" ht="43.5" x14ac:dyDescent="0.35">
      <c r="B3" s="10">
        <v>1</v>
      </c>
      <c r="C3" s="10" t="s">
        <v>1301</v>
      </c>
      <c r="D3" s="10" t="e">
        <f>VLOOKUP(C3,'OL-JOC - DOI details-from-figsh'!C:H,6,FALSE)</f>
        <v>#N/A</v>
      </c>
      <c r="E3" s="11" t="s">
        <v>1302</v>
      </c>
      <c r="F3" s="11" t="str">
        <f t="shared" ref="F3:F66" si="0">IF(G3=E3,"",G3)</f>
        <v/>
      </c>
      <c r="G3" s="11" t="str">
        <f t="shared" ref="G3:G66" si="1">VLOOKUP(C3,H:I,2,FALSE)</f>
        <v>1a;1b;1c;1d;1e;1f;1g;1h;1i;3a;3aa;3ab;3ac;3ad;3ae;3af;3ag;3ah;3ai;3aj;3b;3c;3d;3e;3f;3g;3h;3i;3j;3k;3l;3m;3n;3o;3p;3q;3r;3s;3t;3u;3v;3w;3x;3y;3z;4a;4b;4c;4d;4e;4f;4g;4h;4i;4j;4k;4l;5a;5b;5c;5d;5e;5f;5g</v>
      </c>
      <c r="H3" t="s">
        <v>1301</v>
      </c>
      <c r="I3" t="s">
        <v>1302</v>
      </c>
      <c r="J3">
        <v>691</v>
      </c>
      <c r="K3" t="s">
        <v>1305</v>
      </c>
      <c r="L3" t="s">
        <v>1741</v>
      </c>
      <c r="M3" t="s">
        <v>1742</v>
      </c>
      <c r="N3">
        <v>13</v>
      </c>
      <c r="O3" t="s">
        <v>1306</v>
      </c>
      <c r="P3" t="s">
        <v>1629</v>
      </c>
      <c r="Q3" t="s">
        <v>1743</v>
      </c>
      <c r="R3" t="s">
        <v>1744</v>
      </c>
      <c r="S3">
        <v>12</v>
      </c>
      <c r="T3" t="s">
        <v>1745</v>
      </c>
      <c r="U3" t="s">
        <v>1746</v>
      </c>
      <c r="V3" t="s">
        <v>1747</v>
      </c>
      <c r="W3" t="s">
        <v>1748</v>
      </c>
      <c r="X3" t="s">
        <v>1749</v>
      </c>
      <c r="Y3" t="s">
        <v>1750</v>
      </c>
      <c r="Z3" t="s">
        <v>1751</v>
      </c>
      <c r="AA3" t="s">
        <v>1752</v>
      </c>
      <c r="AB3" t="s">
        <v>1753</v>
      </c>
      <c r="AC3" t="s">
        <v>1754</v>
      </c>
      <c r="AD3" t="s">
        <v>1755</v>
      </c>
    </row>
    <row r="4" spans="1:30" ht="116" x14ac:dyDescent="0.35">
      <c r="A4" s="11" t="s">
        <v>1733</v>
      </c>
      <c r="C4" s="10" t="s">
        <v>1303</v>
      </c>
      <c r="D4" s="10">
        <f>VLOOKUP(C4,'OL-JOC - DOI details-from-figsh'!C:H,6,FALSE)</f>
        <v>72</v>
      </c>
      <c r="E4" s="11" t="s">
        <v>1628</v>
      </c>
      <c r="F4" s="11" t="str">
        <f t="shared" si="0"/>
        <v>10_(DSN-799 13C )  spot-I;10_(DSN-799 1H ) spot-1;11_(DSN-799 13C ) Spot-II;11_(DSN-799 1H ) Spot-II;3aa_(DSN-625 13 C );3aa_(DSN-625 1H );3ab_(DSN-613 13C );3ab_(DSN-613 1H );3ac_(DSN-619 13C );3ac_(DSN-619 1H );3ad_(DSN-634 13C );3ad_(DSN-634 1H );3ae_(DSN-690 13C);3ae_(DSN-690 1H );3af_(DSN-808 13C);3af_(DSN-808 1H );3ag_(DSN-633 13C );3ag_(DSN-633 1H );3ah_(DSN-692 13C );3ah_(DSN-692 1H );3ai_(DSN-691 13C );3ai_(DSN-</v>
      </c>
      <c r="G4" s="11" t="str">
        <f t="shared" si="1"/>
        <v>10_(DSN-799 13C )  spot-I;10_(DSN-799 1H ) spot-1;11_(DSN-799 13C ) Spot-II;11_(DSN-799 1H ) Spot-II;3aa_(DSN-625 13 C );3aa_(DSN-625 1H );3ab_(DSN-613 13C );3ab_(DSN-613 1H );3ac_(DSN-619 13C );3ac_(DSN-619 1H );3ad_(DSN-634 13C );3ad_(DSN-634 1H );3ae_(DSN-690 13C);3ae_(DSN-690 1H );3af_(DSN-808 13C);3af_(DSN-808 1H );3ag_(DSN-633 13C );3ag_(DSN-633 1H );3ah_(DSN-692 13C );3ah_(DSN-692 1H );3ai_(DSN-691 13C );3ai_(DSN-</v>
      </c>
      <c r="H4" t="s">
        <v>1303</v>
      </c>
      <c r="I4" t="s">
        <v>1740</v>
      </c>
    </row>
    <row r="5" spans="1:30" ht="29" x14ac:dyDescent="0.35">
      <c r="A5" s="11" t="s">
        <v>1734</v>
      </c>
      <c r="C5" s="10" t="s">
        <v>1307</v>
      </c>
      <c r="D5" s="10">
        <f>VLOOKUP(C5,'OL-JOC - DOI details-from-figsh'!C:H,6,FALSE)</f>
        <v>8</v>
      </c>
      <c r="E5" s="11" t="s">
        <v>1630</v>
      </c>
      <c r="F5" s="11" t="str">
        <f t="shared" si="0"/>
        <v>1;Part 1  2;Part 2  2;Part 3  2;Part 1  3;Part 2  3;Part 1  4;Part 2  4</v>
      </c>
      <c r="G5" s="11" t="str">
        <f t="shared" si="1"/>
        <v>1;Part 1  2;Part 2  2;Part 3  2;Part 1  3;Part 2  3;Part 1  4;Part 2  4</v>
      </c>
      <c r="H5" t="s">
        <v>1307</v>
      </c>
      <c r="I5" t="s">
        <v>1756</v>
      </c>
    </row>
    <row r="6" spans="1:30" ht="43.5" x14ac:dyDescent="0.35">
      <c r="B6" s="10">
        <v>1</v>
      </c>
      <c r="C6" s="10" t="s">
        <v>1309</v>
      </c>
      <c r="D6" s="10">
        <f>VLOOKUP(C6,'OL-JOC - DOI details-from-figsh'!C:H,6,FALSE)</f>
        <v>48</v>
      </c>
      <c r="E6" s="11" t="s">
        <v>1310</v>
      </c>
      <c r="F6" s="11" t="str">
        <f t="shared" si="0"/>
        <v/>
      </c>
      <c r="G6" s="11" t="str">
        <f t="shared" si="1"/>
        <v>10;1c;1d;1e;1g;1h;1j;2e;4h;5a;5b;5c;5d;5e;5f;5g;5h;5i;5j;5k;5l;5m;5n;5o;5p;6a;6b;6c;6d;6e;7a;7b;7c;7d;7e;7f;7g;7h;8a;8b;8c;8d;8e;8f;8g;8h;8i;8j</v>
      </c>
      <c r="H6" t="s">
        <v>1309</v>
      </c>
      <c r="I6" t="s">
        <v>1310</v>
      </c>
    </row>
    <row r="7" spans="1:30" ht="29" x14ac:dyDescent="0.35">
      <c r="A7" s="11" t="s">
        <v>2262</v>
      </c>
      <c r="C7" s="10" t="s">
        <v>1311</v>
      </c>
      <c r="D7" s="10" t="e">
        <f>VLOOKUP(C7,'OL-JOC - DOI details-from-figsh'!C:H,6,FALSE)</f>
        <v>#N/A</v>
      </c>
      <c r="E7" s="11" t="s">
        <v>1312</v>
      </c>
      <c r="F7" s="11" t="e">
        <f t="shared" si="0"/>
        <v>#N/A</v>
      </c>
      <c r="G7" s="11" t="e">
        <f t="shared" si="1"/>
        <v>#N/A</v>
      </c>
      <c r="H7" t="s">
        <v>1313</v>
      </c>
      <c r="I7" t="s">
        <v>1314</v>
      </c>
    </row>
    <row r="8" spans="1:30" ht="29" x14ac:dyDescent="0.35">
      <c r="B8" s="10">
        <v>1</v>
      </c>
      <c r="C8" s="10" t="s">
        <v>1313</v>
      </c>
      <c r="D8" s="10">
        <f>VLOOKUP(C8,'OL-JOC - DOI details-from-figsh'!C:H,6,FALSE)</f>
        <v>33</v>
      </c>
      <c r="E8" s="11" t="s">
        <v>1314</v>
      </c>
      <c r="F8" s="11" t="str">
        <f t="shared" si="0"/>
        <v/>
      </c>
      <c r="G8" s="11" t="str">
        <f t="shared" si="1"/>
        <v>4a;4b;4c;4d;4e;4f;4g;4h;4i;4j;4k;4l;4m;4n;4o;4p;4q;4r;4s;4t;5a;5b;5c;5d;5e;5f;5g;5h;5i;6a;6b;6c;6d</v>
      </c>
      <c r="H8" t="s">
        <v>1315</v>
      </c>
      <c r="I8" t="s">
        <v>1316</v>
      </c>
    </row>
    <row r="9" spans="1:30" ht="58" x14ac:dyDescent="0.35">
      <c r="B9" s="10">
        <v>1</v>
      </c>
      <c r="C9" s="10" t="s">
        <v>1315</v>
      </c>
      <c r="D9" s="10">
        <f>VLOOKUP(C9,'OL-JOC - DOI details-from-figsh'!C:H,6,FALSE)</f>
        <v>65</v>
      </c>
      <c r="E9" s="11" t="s">
        <v>1316</v>
      </c>
      <c r="F9" s="11" t="str">
        <f t="shared" si="0"/>
        <v/>
      </c>
      <c r="G9" s="11" t="str">
        <f t="shared" si="1"/>
        <v>S1a;S1b;S1c;S1d;S1e;S1f;S1g;S1h;S1i;S1j;S1k;S1l;S1m;S1n;S1o;S1p;S1q;S1r;S1s;S1t;S1u;1a;1b;1c;1d;1e;1f;1g;1h;1i;1j;1k;1l;1m;1n;1o;1p;1q;1r;1s;2a;3a;3ab;3ac;3b;3c;3d;3e;3f;3g;3h;3i;3j;3k;3l;3m;3n;3p;3q;4;5;7;8a;8b;8c</v>
      </c>
      <c r="H9" t="s">
        <v>1317</v>
      </c>
      <c r="I9" t="s">
        <v>1318</v>
      </c>
    </row>
    <row r="10" spans="1:30" ht="29" x14ac:dyDescent="0.35">
      <c r="B10" s="10">
        <v>1</v>
      </c>
      <c r="C10" s="10" t="s">
        <v>1317</v>
      </c>
      <c r="D10" s="10">
        <f>VLOOKUP(C10,'OL-JOC - DOI details-from-figsh'!C:H,6,FALSE)</f>
        <v>24</v>
      </c>
      <c r="E10" s="11" t="s">
        <v>1318</v>
      </c>
      <c r="F10" s="11" t="str">
        <f t="shared" si="0"/>
        <v/>
      </c>
      <c r="G10" s="11" t="str">
        <f t="shared" si="1"/>
        <v>10;11;13;15;18a;18b;19a;19b;3a;3b;3c;3d;3e;3f;3g;3h';3h;3i;3j;3k';3k;7;8;9</v>
      </c>
      <c r="H10" t="s">
        <v>1319</v>
      </c>
      <c r="I10" t="s">
        <v>1320</v>
      </c>
    </row>
    <row r="11" spans="1:30" ht="72.5" x14ac:dyDescent="0.35">
      <c r="B11" s="10">
        <v>1</v>
      </c>
      <c r="C11" s="10" t="s">
        <v>1319</v>
      </c>
      <c r="D11" s="10">
        <f>VLOOKUP(C11,'OL-JOC - DOI details-from-figsh'!C:H,6,FALSE)</f>
        <v>86</v>
      </c>
      <c r="E11" s="11" t="s">
        <v>1320</v>
      </c>
      <c r="F11" s="11" t="str">
        <f t="shared" si="0"/>
        <v/>
      </c>
      <c r="G11" s="11" t="str">
        <f t="shared" si="1"/>
        <v>1aa;1ab;1ac;1ad;1ae;1af;1ag;1ah;1ai;1aj;1ak;1c;1d;1g;1i;1j;1l;1m;1o;1q;1s;1v;1w;1y;1z;2a;2b;2c;2e;2f;2g;2h;2i;2j;2k;2l;2m;2n;2o;2p;2q;2r;2s;2t;2u;4C;4a;4aa;4ab;4ac;4ad;4ae;4af;4ag;4ah;4b;4d;4e;4g;4h;4i;4j;4k;4l;4m;4n;4o;4p;4q;4s;4t;4u;4v;4w;4x;4y;4z;5a;7a;S3ba;S3bb;S3bc;S3bd;S3be;S3bf;S3bg</v>
      </c>
      <c r="H11" t="s">
        <v>1321</v>
      </c>
      <c r="I11" t="s">
        <v>1631</v>
      </c>
    </row>
    <row r="12" spans="1:30" ht="58" x14ac:dyDescent="0.35">
      <c r="B12" s="10">
        <v>1</v>
      </c>
      <c r="C12" s="10" t="s">
        <v>1321</v>
      </c>
      <c r="D12" s="10">
        <f>VLOOKUP(C12,'OL-JOC - DOI details-from-figsh'!C:H,6,FALSE)</f>
        <v>38</v>
      </c>
      <c r="E12" s="11" t="s">
        <v>1631</v>
      </c>
      <c r="F12" s="11" t="str">
        <f t="shared" si="0"/>
        <v/>
      </c>
      <c r="G12" s="11" t="str">
        <f t="shared" si="1"/>
        <v>3aa;3ab;3ac;3ad;3ae;3af;3ag;3ah;3ai;3aj;3ak;3al;3am;3an;3ao;3ba;3bb;3ca;3cb;3da;3db;3ea;3eb;3fa;3fb;3ga;3ha;3ia;3ja;3ja_Scale up;3jp;3ka;3la;3ma;3mr;3na;3oq;2. Without Catalyst_substrate;3. Mechanism fig S2, S3, S4;4. Cat AB4 NMRs</v>
      </c>
      <c r="H12" t="s">
        <v>1322</v>
      </c>
      <c r="I12" t="s">
        <v>1323</v>
      </c>
    </row>
    <row r="13" spans="1:30" x14ac:dyDescent="0.35">
      <c r="A13" s="11" t="s">
        <v>1736</v>
      </c>
      <c r="C13" s="10" t="s">
        <v>1322</v>
      </c>
      <c r="D13" s="10">
        <f>VLOOKUP(C13,'OL-JOC - DOI details-from-figsh'!C:H,6,FALSE)</f>
        <v>7</v>
      </c>
      <c r="E13" s="11" t="s">
        <v>1323</v>
      </c>
      <c r="F13" s="11" t="str">
        <f t="shared" si="0"/>
        <v/>
      </c>
      <c r="G13" s="11" t="str">
        <f t="shared" si="1"/>
        <v>1a;1b;2a;2b;3a;3b;3c;Data.docx</v>
      </c>
      <c r="H13" t="s">
        <v>1324</v>
      </c>
      <c r="I13" t="s">
        <v>1325</v>
      </c>
    </row>
    <row r="14" spans="1:30" ht="72.5" x14ac:dyDescent="0.35">
      <c r="A14" s="11" t="s">
        <v>1737</v>
      </c>
      <c r="C14" s="10" t="s">
        <v>1324</v>
      </c>
      <c r="D14" s="10">
        <f>VLOOKUP(C14,'OL-JOC - DOI details-from-figsh'!C:H,6,FALSE)</f>
        <v>76</v>
      </c>
      <c r="E14" s="11" t="s">
        <v>1325</v>
      </c>
      <c r="F14" s="11" t="str">
        <f t="shared" si="0"/>
        <v/>
      </c>
      <c r="G14" s="11" t="str">
        <f t="shared" si="1"/>
        <v>10a+10a';10b';10b;NOESY;10c';10c;10d;10e;10f';10f;10g;10h;10i';10i;10j';10j;10k';10k;10l;10m';10m;10n;10o;10p;10q;10r;12a;12b;12c;12d;12e;12f;12g;12h;12i;12j;12k;12l;12m;12n;12o;12p;12q;12r;12s;17e';17e;17g;17h';17h;17j';17j;17l;17m;17o;17p;17q;17r;18a';18a;18e';18e;18n;18o;18p;18q;20a;21a';21a;25;i;ii;iii;iv;v;vi;vii</v>
      </c>
      <c r="H14" t="s">
        <v>1326</v>
      </c>
      <c r="I14" t="s">
        <v>1757</v>
      </c>
    </row>
    <row r="15" spans="1:30" x14ac:dyDescent="0.35">
      <c r="B15" s="10">
        <v>1</v>
      </c>
      <c r="C15" s="10" t="s">
        <v>1326</v>
      </c>
      <c r="D15" s="10">
        <f>VLOOKUP(C15,'OL-JOC - DOI details-from-figsh'!C:H,6,FALSE)</f>
        <v>7</v>
      </c>
      <c r="E15" s="11" t="s">
        <v>1632</v>
      </c>
      <c r="F15" s="11" t="str">
        <f t="shared" si="0"/>
        <v>2; 3; 4; 5; 6; 7; 8</v>
      </c>
      <c r="G15" s="11" t="str">
        <f t="shared" si="1"/>
        <v>2; 3; 4; 5; 6; 7; 8</v>
      </c>
      <c r="H15" t="s">
        <v>1327</v>
      </c>
      <c r="I15" t="s">
        <v>1328</v>
      </c>
      <c r="J15" t="s">
        <v>1759</v>
      </c>
      <c r="K15" t="s">
        <v>1760</v>
      </c>
      <c r="L15" t="s">
        <v>1761</v>
      </c>
      <c r="M15" t="s">
        <v>1762</v>
      </c>
      <c r="N15">
        <v>13</v>
      </c>
      <c r="O15" t="s">
        <v>1763</v>
      </c>
      <c r="P15" t="s">
        <v>1764</v>
      </c>
      <c r="Q15" t="s">
        <v>1765</v>
      </c>
      <c r="R15" t="s">
        <v>1766</v>
      </c>
      <c r="S15" t="s">
        <v>1767</v>
      </c>
      <c r="T15" t="s">
        <v>1760</v>
      </c>
      <c r="U15" t="s">
        <v>1768</v>
      </c>
      <c r="V15" t="s">
        <v>1769</v>
      </c>
      <c r="W15" t="s">
        <v>1770</v>
      </c>
      <c r="X15" t="s">
        <v>1771</v>
      </c>
      <c r="Y15" t="s">
        <v>1772</v>
      </c>
      <c r="Z15" t="s">
        <v>1773</v>
      </c>
      <c r="AA15" t="s">
        <v>1774</v>
      </c>
      <c r="AB15" t="s">
        <v>1775</v>
      </c>
      <c r="AC15" t="s">
        <v>1776</v>
      </c>
      <c r="AD15" t="s">
        <v>1777</v>
      </c>
    </row>
    <row r="16" spans="1:30" ht="58" x14ac:dyDescent="0.35">
      <c r="B16" s="10">
        <v>1</v>
      </c>
      <c r="C16" s="10" t="s">
        <v>1327</v>
      </c>
      <c r="D16" s="10">
        <f>VLOOKUP(C16,'OL-JOC - DOI details-from-figsh'!C:H,6,FALSE)</f>
        <v>35</v>
      </c>
      <c r="E16" s="11" t="s">
        <v>1328</v>
      </c>
      <c r="F16" s="11" t="str">
        <f t="shared" si="0"/>
        <v/>
      </c>
      <c r="G16" s="11" t="str">
        <f t="shared" si="1"/>
        <v>1d-EPO;1d-Q;1d;1m-EPO;1m-Q;1m;2d-EPO;2d-Q;2d;2m-EPO;2m-Q;2m;3d-EPO;3d-Q;3d;3m-EPO;3m-Q;3m;4d-EPO;4d-Q;4d;4m-EPO;4m;5d-EPO;5d-Q;5d;5m-EPO;5m-Q;5m;6d-EPO;6d-Q;6d;6m-EPO;6m-Q;6m</v>
      </c>
      <c r="H16" t="s">
        <v>1329</v>
      </c>
      <c r="I16" t="s">
        <v>1758</v>
      </c>
    </row>
    <row r="17" spans="1:30" ht="116" x14ac:dyDescent="0.35">
      <c r="B17" s="10">
        <v>1</v>
      </c>
      <c r="C17" s="10" t="s">
        <v>1329</v>
      </c>
      <c r="D17" s="10">
        <f>VLOOKUP(C17,'OL-JOC - DOI details-from-figsh'!C:H,6,FALSE)</f>
        <v>112</v>
      </c>
      <c r="E17" s="11" t="s">
        <v>1633</v>
      </c>
      <c r="F17" s="11" t="str">
        <f t="shared" si="0"/>
        <v>10 13C;10 1H;11 13C;11 1H;13 13C;13 1H;3a 13C;3a 1H;3aa 13C;3aa 1H;3ab 13C;3ab 1H;3ac 13C;3ac 1H;3b 13C;3b 1H;3c 13C;3c 1H;3d 13C;3d 1H;3e 13C;3e 1H;3f 13C;3f 1H;3g 13C;3g 19F;3g 1H;3h 13C;3h 1H;3i 13C;3i 1H;3j 13C;3j 19F;3j 1H;3k 13C;3k 19F;3k 1H;3l 13C;3l 1H;3m 13C;3m 1H;3n 13C;3n 1H;3o 13C;3o 1H;3p 13C;3p 1H;3q 13C;3q 1H;3r 13C;3r 1H;3s 13C;3s 1H;3t 13C;3t 1H;3u 13C;3u 1H;3v 13C;3v 1H;3w 13C;3w 1H;3x 13C;3x 1H;3y 13C;</v>
      </c>
      <c r="G17" s="11" t="str">
        <f t="shared" si="1"/>
        <v>10 13C;10 1H;11 13C;11 1H;13 13C;13 1H;3a 13C;3a 1H;3aa 13C;3aa 1H;3ab 13C;3ab 1H;3ac 13C;3ac 1H;3b 13C;3b 1H;3c 13C;3c 1H;3d 13C;3d 1H;3e 13C;3e 1H;3f 13C;3f 1H;3g 13C;3g 19F;3g 1H;3h 13C;3h 1H;3i 13C;3i 1H;3j 13C;3j 19F;3j 1H;3k 13C;3k 19F;3k 1H;3l 13C;3l 1H;3m 13C;3m 1H;3n 13C;3n 1H;3o 13C;3o 1H;3p 13C;3p 1H;3q 13C;3q 1H;3r 13C;3r 1H;3s 13C;3s 1H;3t 13C;3t 1H;3u 13C;3u 1H;3v 13C;3v 1H;3w 13C;3w 1H;3x 13C;3x 1H;3y 13C;</v>
      </c>
      <c r="H17" t="s">
        <v>1332</v>
      </c>
      <c r="I17" t="s">
        <v>1333</v>
      </c>
    </row>
    <row r="18" spans="1:30" ht="101.5" x14ac:dyDescent="0.35">
      <c r="B18" s="10">
        <v>1</v>
      </c>
      <c r="C18" s="10" t="s">
        <v>1330</v>
      </c>
      <c r="D18" s="10">
        <f>VLOOKUP(C18,'OL-JOC - DOI details-from-figsh'!C:H,6,FALSE)</f>
        <v>0</v>
      </c>
      <c r="E18" s="11" t="s">
        <v>1331</v>
      </c>
      <c r="F18" s="11" t="e">
        <f t="shared" si="0"/>
        <v>#N/A</v>
      </c>
      <c r="G18" s="11" t="e">
        <f t="shared" si="1"/>
        <v>#N/A</v>
      </c>
      <c r="H18" t="s">
        <v>1334</v>
      </c>
      <c r="I18" t="s">
        <v>1778</v>
      </c>
    </row>
    <row r="19" spans="1:30" x14ac:dyDescent="0.35">
      <c r="B19" s="10">
        <v>1</v>
      </c>
      <c r="C19" s="10" t="s">
        <v>1332</v>
      </c>
      <c r="D19" s="10">
        <f>VLOOKUP(C19,'OL-JOC - DOI details-from-figsh'!C:H,6,FALSE)</f>
        <v>15</v>
      </c>
      <c r="E19" s="11" t="s">
        <v>1333</v>
      </c>
      <c r="F19" s="11" t="str">
        <f t="shared" si="0"/>
        <v/>
      </c>
      <c r="G19" s="11" t="str">
        <f t="shared" si="1"/>
        <v>3a;3b;3c;3d;3e;3f;3g;3h;4a;4b;4c;4d;4e;4f;6</v>
      </c>
      <c r="H19" t="s">
        <v>1336</v>
      </c>
      <c r="I19" t="s">
        <v>1337</v>
      </c>
    </row>
    <row r="20" spans="1:30" ht="72.5" x14ac:dyDescent="0.35">
      <c r="A20" s="11" t="s">
        <v>1738</v>
      </c>
      <c r="C20" s="10" t="s">
        <v>1334</v>
      </c>
      <c r="D20" s="10">
        <f>VLOOKUP(C20,'OL-JOC - DOI details-from-figsh'!C:H,6,FALSE)</f>
        <v>30</v>
      </c>
      <c r="E20" s="11" t="s">
        <v>1335</v>
      </c>
      <c r="F20" s="11" t="str">
        <f t="shared" si="0"/>
        <v>10_13C;10_1H;11_13C;11_1H;12_13C;12_1H;13_13C;13_1H;14_13C;14_1H;15_13C;15_1H;1_13C;1_1H;2_13C;2_1H;3_13C;3_1H;4_13C;4_1H;5_13C;5_1H;6_13C;6_1H;7_13C;7_1H;8_13C;8_1H;9_13C;9_1H</v>
      </c>
      <c r="G20" s="11" t="str">
        <f t="shared" si="1"/>
        <v>10_13C;10_1H;11_13C;11_1H;12_13C;12_1H;13_13C;13_1H;14_13C;14_1H;15_13C;15_1H;1_13C;1_1H;2_13C;2_1H;3_13C;3_1H;4_13C;4_1H;5_13C;5_1H;6_13C;6_1H;7_13C;7_1H;8_13C;8_1H;9_13C;9_1H</v>
      </c>
      <c r="H20" t="s">
        <v>1126</v>
      </c>
      <c r="I20" t="s">
        <v>1779</v>
      </c>
    </row>
    <row r="21" spans="1:30" ht="58" x14ac:dyDescent="0.35">
      <c r="B21" s="10">
        <v>1</v>
      </c>
      <c r="C21" s="10" t="s">
        <v>1336</v>
      </c>
      <c r="D21" s="10">
        <f>VLOOKUP(C21,'OL-JOC - DOI details-from-figsh'!C:H,6,FALSE)</f>
        <v>64</v>
      </c>
      <c r="E21" s="11" t="s">
        <v>1337</v>
      </c>
      <c r="F21" s="11" t="str">
        <f t="shared" si="0"/>
        <v/>
      </c>
      <c r="G21" s="11" t="str">
        <f t="shared" si="1"/>
        <v>A1;A10;A11;A12;A13;A14;A15;A16;A17;A18;A19;A2;A20;A21;A22;A23;A24;A25;A26;A27;A28;A29;A3;A30;A31;A4;A5;A6;A7;A8;A9;C1;C10;C11;C12;C13;C14;C15;C16;C17;C18;C19;C2;C20;C21;C22;C23;C24;C25;C26;C27;C28;C29;C3;C30;C31;C32;C4;C5;C6;C7;C8;C9;D1</v>
      </c>
      <c r="H21" t="s">
        <v>1339</v>
      </c>
      <c r="I21" t="s">
        <v>1340</v>
      </c>
    </row>
    <row r="22" spans="1:30" x14ac:dyDescent="0.35">
      <c r="A22" s="11" t="s">
        <v>1739</v>
      </c>
      <c r="B22" s="10">
        <v>1</v>
      </c>
      <c r="C22" s="10" t="s">
        <v>1126</v>
      </c>
      <c r="D22" s="10" t="e">
        <f>VLOOKUP(C22,'OL-JOC - DOI details-from-figsh'!C:H,6,FALSE)</f>
        <v>#N/A</v>
      </c>
      <c r="E22" s="11" t="s">
        <v>1338</v>
      </c>
      <c r="F22" s="11" t="str">
        <f t="shared" si="0"/>
        <v>1[4]H;1[5]H;1[6]H;1[7]H</v>
      </c>
      <c r="G22" s="11" t="str">
        <f t="shared" si="1"/>
        <v>1[4]H;1[5]H;1[6]H;1[7]H</v>
      </c>
      <c r="H22" t="s">
        <v>1341</v>
      </c>
      <c r="I22" t="s">
        <v>1342</v>
      </c>
    </row>
    <row r="23" spans="1:30" ht="72.5" x14ac:dyDescent="0.35">
      <c r="B23" s="10">
        <v>1</v>
      </c>
      <c r="C23" s="10" t="s">
        <v>1339</v>
      </c>
      <c r="D23" s="10">
        <f>VLOOKUP(C23,'OL-JOC - DOI details-from-figsh'!C:H,6,FALSE)</f>
        <v>57</v>
      </c>
      <c r="E23" s="11" t="s">
        <v>1340</v>
      </c>
      <c r="F23" s="11" t="str">
        <f t="shared" si="0"/>
        <v/>
      </c>
      <c r="G23" s="11" t="str">
        <f t="shared" si="1"/>
        <v>1a;1b;1c;2b;2c;2e;2f;2g;2m;2n;3a-major;3a-minor;3b;3c;3d;3e-major;3f-major;3f-minor;3h-major;3h-minor;3i;3j;3k;3l;3m;3n-major;3n-minor;3o_major;3o_minor;3p_major;3p_minor;3p_minor_new;3q;3r;3s;3t;4;5;6;9a;9b;9c</v>
      </c>
      <c r="H23" t="s">
        <v>1343</v>
      </c>
      <c r="I23" t="s">
        <v>1344</v>
      </c>
    </row>
    <row r="24" spans="1:30" ht="43.5" x14ac:dyDescent="0.35">
      <c r="B24" s="10">
        <v>1</v>
      </c>
      <c r="C24" s="10" t="s">
        <v>1341</v>
      </c>
      <c r="D24" s="10">
        <f>VLOOKUP(C24,'OL-JOC - DOI details-from-figsh'!C:H,6,FALSE)</f>
        <v>9</v>
      </c>
      <c r="E24" s="11" t="s">
        <v>1342</v>
      </c>
      <c r="F24" s="11" t="str">
        <f t="shared" si="0"/>
        <v/>
      </c>
      <c r="G24" s="11" t="str">
        <f t="shared" si="1"/>
        <v>1a;1b;1c;1d;1e;1f;1g;1h;1i;1j;1k;1l;1m;1n;1o;1p;1q;2i;1r;1s;1t;1u;1v;1w;1x;1y;2a;2b;2c;2d;2e;2f;2g;2h;2j;2k;2l;2m;2n;2o;2p;2q;2r;2s;2t;2u;2v;2w;2x;2z;3a;3b;3e;3h;3l;3m;3o;3r;3s;4a;4b;5a;5b;5c;6;7;8</v>
      </c>
      <c r="H24" t="s">
        <v>1345</v>
      </c>
      <c r="I24" t="s">
        <v>1634</v>
      </c>
    </row>
    <row r="25" spans="1:30" x14ac:dyDescent="0.35">
      <c r="A25" s="11" t="s">
        <v>2231</v>
      </c>
      <c r="C25" s="10" t="s">
        <v>1343</v>
      </c>
      <c r="D25" s="10">
        <f>VLOOKUP(C25,'OL-JOC - DOI details-from-figsh'!C:H,6,FALSE)</f>
        <v>4</v>
      </c>
      <c r="E25" s="11" t="s">
        <v>1344</v>
      </c>
      <c r="F25" s="11" t="str">
        <f t="shared" si="0"/>
        <v/>
      </c>
      <c r="G25" s="11" t="str">
        <f t="shared" si="1"/>
        <v>11B;13C;19F;1H</v>
      </c>
      <c r="H25" t="s">
        <v>1346</v>
      </c>
      <c r="I25" t="s">
        <v>1347</v>
      </c>
      <c r="J25">
        <v>-13</v>
      </c>
      <c r="K25" t="s">
        <v>1781</v>
      </c>
      <c r="L25" t="s">
        <v>1782</v>
      </c>
      <c r="M25" t="s">
        <v>1783</v>
      </c>
      <c r="N25" t="s">
        <v>1784</v>
      </c>
      <c r="O25">
        <v>13</v>
      </c>
      <c r="P25" t="s">
        <v>1785</v>
      </c>
      <c r="Q25" t="s">
        <v>1637</v>
      </c>
      <c r="R25" t="s">
        <v>1786</v>
      </c>
      <c r="S25" t="s">
        <v>1636</v>
      </c>
      <c r="T25" t="s">
        <v>1787</v>
      </c>
      <c r="U25" t="s">
        <v>1788</v>
      </c>
      <c r="V25" t="s">
        <v>1789</v>
      </c>
      <c r="W25" t="s">
        <v>1790</v>
      </c>
      <c r="X25" t="s">
        <v>1791</v>
      </c>
      <c r="Y25" t="s">
        <v>1792</v>
      </c>
      <c r="Z25" t="s">
        <v>1793</v>
      </c>
      <c r="AA25" t="s">
        <v>1794</v>
      </c>
      <c r="AB25" t="s">
        <v>1795</v>
      </c>
      <c r="AC25" t="s">
        <v>1796</v>
      </c>
      <c r="AD25" t="s">
        <v>1797</v>
      </c>
    </row>
    <row r="26" spans="1:30" ht="72.5" x14ac:dyDescent="0.35">
      <c r="B26" s="10">
        <v>1</v>
      </c>
      <c r="C26" s="10" t="s">
        <v>1345</v>
      </c>
      <c r="D26" s="10">
        <f>VLOOKUP(C26,'OL-JOC - DOI details-from-figsh'!C:H,6,FALSE)</f>
        <v>14</v>
      </c>
      <c r="E26" s="11" t="s">
        <v>1634</v>
      </c>
      <c r="F26" s="11" t="str">
        <f t="shared" si="0"/>
        <v/>
      </c>
      <c r="G26" s="11" t="str">
        <f t="shared" si="1"/>
        <v>Compound 1.csv;Compound 10.csv;Compound 11.csv;Compound 12.csv;Compound 13.csv;Compound 14.csv;Compound 2.csv;Compound 3.csv;Compound 4.csv;Compound 5.csv;Compound 6.csv;Compound 7.csv;Compound 8.csv;Compound 9.csv;1;10;11;12;13;14;2;3;4;5;6;7;8;9</v>
      </c>
      <c r="H26" t="s">
        <v>1348</v>
      </c>
      <c r="I26" t="s">
        <v>1780</v>
      </c>
    </row>
    <row r="27" spans="1:30" ht="29" x14ac:dyDescent="0.35">
      <c r="A27" s="11" t="s">
        <v>2305</v>
      </c>
      <c r="B27" s="10">
        <v>1</v>
      </c>
      <c r="C27" s="10" t="s">
        <v>1346</v>
      </c>
      <c r="D27" s="10">
        <f>VLOOKUP(C27,'OL-JOC - DOI details-from-figsh'!C:H,6,FALSE)</f>
        <v>26</v>
      </c>
      <c r="E27" s="11" t="s">
        <v>1347</v>
      </c>
      <c r="F27" s="11" t="str">
        <f t="shared" si="0"/>
        <v/>
      </c>
      <c r="G27" s="11" t="str">
        <f t="shared" si="1"/>
        <v>3a;3b;3c;3d;3e;3f;3g;3h;3i;3j;3k;3l;3m;3n;3o;3p;3q;3r;3s;3t;3u;3v;3w;3x;3y;4;5</v>
      </c>
      <c r="H27" t="s">
        <v>1349</v>
      </c>
      <c r="I27" t="s">
        <v>1350</v>
      </c>
    </row>
    <row r="28" spans="1:30" ht="101.5" x14ac:dyDescent="0.35">
      <c r="B28" s="10">
        <v>1</v>
      </c>
      <c r="C28" s="10" t="s">
        <v>1348</v>
      </c>
      <c r="D28" s="10">
        <f>VLOOKUP(C28,'OL-JOC - DOI details-from-figsh'!C:H,6,FALSE)</f>
        <v>118</v>
      </c>
      <c r="E28" s="11" t="s">
        <v>1635</v>
      </c>
      <c r="F28" s="11" t="str">
        <f t="shared" si="0"/>
        <v>3aa-13C;3aa-1H;3aaa-13C;3aaa-19F.fid;3aaa-1H;3ab-13C.fid;3ab-1H.fid;3aba-13C.fid;3aba-19F.fid;3aba-1H.fid;3ac-13C.fid;3ac-1H.fid;3ad-13C.fid;3ad-1H.fid;3ada-13C.fid;3ada-1H.fid;3ae-13C.fid;3ae-1H.fid;3aea-13C.fid;3aea-1H.fid;3af-13C.fid;3af-1H.fid;3ag-13C.fid;3ag-19F.fid;3ag-1H.fid;3ah-13C.fid;3ah-1H.fid;3ai-13C.fid;3ai-1H.fid;3aj-13C.fid;3aj-1H.fid;3ak-13C.fid;3ak-1H.fid;3ba-13C.fid;3ba-1H.fid;3ca-13C.fid;3ca-1H.fid;3da</v>
      </c>
      <c r="G28" s="11" t="str">
        <f t="shared" si="1"/>
        <v>3aa-13C;3aa-1H;3aaa-13C;3aaa-19F.fid;3aaa-1H;3ab-13C.fid;3ab-1H.fid;3aba-13C.fid;3aba-19F.fid;3aba-1H.fid;3ac-13C.fid;3ac-1H.fid;3ad-13C.fid;3ad-1H.fid;3ada-13C.fid;3ada-1H.fid;3ae-13C.fid;3ae-1H.fid;3aea-13C.fid;3aea-1H.fid;3af-13C.fid;3af-1H.fid;3ag-13C.fid;3ag-19F.fid;3ag-1H.fid;3ah-13C.fid;3ah-1H.fid;3ai-13C.fid;3ai-1H.fid;3aj-13C.fid;3aj-1H.fid;3ak-13C.fid;3ak-1H.fid;3ba-13C.fid;3ba-1H.fid;3ca-13C.fid;3ca-1H.fid;3da</v>
      </c>
      <c r="H28" t="s">
        <v>1351</v>
      </c>
      <c r="I28" t="s">
        <v>1352</v>
      </c>
    </row>
    <row r="29" spans="1:30" ht="43.5" x14ac:dyDescent="0.35">
      <c r="B29" s="10">
        <v>1</v>
      </c>
      <c r="C29" s="10" t="s">
        <v>1349</v>
      </c>
      <c r="D29" s="10">
        <f>VLOOKUP(C29,'OL-JOC - DOI details-from-figsh'!C:H,6,FALSE)</f>
        <v>58</v>
      </c>
      <c r="E29" s="11" t="s">
        <v>1350</v>
      </c>
      <c r="F29" s="11" t="str">
        <f t="shared" si="0"/>
        <v/>
      </c>
      <c r="G29" s="11" t="str">
        <f t="shared" si="1"/>
        <v>2a;2aa;2ab;2b;2c;2d;2e;2f;2g;2h;2i;2j;2k;2l;2ls;2m;2n;2o;2p;2q;2r;2s;2t;2u;2v;2w;2x;2y;2z;3;5a;5b;5c;1a;1aa;1ab;1b;1c;1d;1e;1f;1g;1h;1i;1j;1k;1m;1n;1o;1p;1q;1r;1s;1t;1u;1v;1x;1z</v>
      </c>
      <c r="H29" t="s">
        <v>1353</v>
      </c>
      <c r="I29" t="s">
        <v>1638</v>
      </c>
    </row>
    <row r="30" spans="1:30" ht="29" x14ac:dyDescent="0.35">
      <c r="B30" s="10">
        <v>1</v>
      </c>
      <c r="C30" s="10" t="s">
        <v>1351</v>
      </c>
      <c r="D30" s="10">
        <f>VLOOKUP(C30,'OL-JOC - DOI details-from-figsh'!C:H,6,FALSE)</f>
        <v>103</v>
      </c>
      <c r="E30" s="11" t="s">
        <v>1352</v>
      </c>
      <c r="F30" s="11" t="str">
        <f t="shared" si="0"/>
        <v/>
      </c>
      <c r="G30" s="11" t="str">
        <f t="shared" si="1"/>
        <v>1aaaa-C;1aaaa-H;1aaac-C;1aaah-H;1aaak-H;1aaal-H;1aach-H;1baar-C;1caaa-C;1caah-C;3-H;4-H</v>
      </c>
      <c r="H30" t="s">
        <v>1354</v>
      </c>
      <c r="I30" t="s">
        <v>1355</v>
      </c>
      <c r="J30" t="s">
        <v>1678</v>
      </c>
      <c r="K30" t="s">
        <v>1799</v>
      </c>
      <c r="L30" t="s">
        <v>1800</v>
      </c>
      <c r="M30" t="s">
        <v>1801</v>
      </c>
      <c r="N30" t="s">
        <v>1641</v>
      </c>
      <c r="O30">
        <v>0.1</v>
      </c>
      <c r="P30">
        <v>15</v>
      </c>
      <c r="Q30" t="s">
        <v>1802</v>
      </c>
      <c r="R30" t="s">
        <v>1803</v>
      </c>
      <c r="S30" t="s">
        <v>1640</v>
      </c>
      <c r="T30" t="s">
        <v>1804</v>
      </c>
      <c r="U30" t="s">
        <v>1805</v>
      </c>
      <c r="V30" t="s">
        <v>1806</v>
      </c>
      <c r="W30" t="s">
        <v>1807</v>
      </c>
      <c r="X30" t="s">
        <v>1808</v>
      </c>
      <c r="Y30" t="s">
        <v>1809</v>
      </c>
      <c r="Z30" t="s">
        <v>1810</v>
      </c>
      <c r="AA30">
        <v>0</v>
      </c>
      <c r="AB30" t="s">
        <v>1811</v>
      </c>
      <c r="AC30" t="s">
        <v>1812</v>
      </c>
      <c r="AD30" t="s">
        <v>1813</v>
      </c>
    </row>
    <row r="31" spans="1:30" ht="101.5" x14ac:dyDescent="0.35">
      <c r="B31" s="10">
        <v>1</v>
      </c>
      <c r="C31" s="10" t="s">
        <v>1353</v>
      </c>
      <c r="D31" s="10">
        <f>VLOOKUP(C31,'OL-JOC - DOI details-from-figsh'!C:H,6,FALSE)</f>
        <v>52</v>
      </c>
      <c r="E31" s="11" t="s">
        <v>1638</v>
      </c>
      <c r="F31" s="11" t="str">
        <f t="shared" si="0"/>
        <v/>
      </c>
      <c r="G31" s="11" t="str">
        <f t="shared" si="1"/>
        <v>1-methoxyadamantane;Compound 10;Compound 11;Compound 14;Compound 15;Compound 16;Compound 17;Compound 18;Compound 19;Compound 20;Compound 21;Compound 22;Compound 23;Compound 24;Compound 26;Compound 27;Compound 28;Compound 30;Compound 31;Compound 32;Compound 34;Compound 36;Compound 6;Compound 8, 9, 10, 11, 12, 13;Compound 9</v>
      </c>
      <c r="H31" t="s">
        <v>1356</v>
      </c>
      <c r="I31" t="s">
        <v>1798</v>
      </c>
      <c r="J31" t="s">
        <v>1359</v>
      </c>
      <c r="K31" t="s">
        <v>1306</v>
      </c>
      <c r="L31" t="s">
        <v>1815</v>
      </c>
      <c r="M31" t="s">
        <v>1816</v>
      </c>
      <c r="N31" t="s">
        <v>1817</v>
      </c>
      <c r="O31" t="s">
        <v>1818</v>
      </c>
      <c r="P31" t="s">
        <v>1819</v>
      </c>
      <c r="Q31" t="s">
        <v>1820</v>
      </c>
      <c r="R31" t="s">
        <v>1821</v>
      </c>
      <c r="S31" t="s">
        <v>1822</v>
      </c>
      <c r="T31" t="s">
        <v>1823</v>
      </c>
      <c r="U31" t="s">
        <v>1824</v>
      </c>
      <c r="V31" t="s">
        <v>1825</v>
      </c>
      <c r="W31" t="s">
        <v>1826</v>
      </c>
      <c r="X31" t="s">
        <v>1827</v>
      </c>
      <c r="Y31" t="s">
        <v>1828</v>
      </c>
      <c r="Z31" t="s">
        <v>1829</v>
      </c>
      <c r="AA31" t="s">
        <v>1357</v>
      </c>
      <c r="AB31" t="s">
        <v>1360</v>
      </c>
      <c r="AC31" t="s">
        <v>1830</v>
      </c>
      <c r="AD31" t="s">
        <v>1831</v>
      </c>
    </row>
    <row r="32" spans="1:30" x14ac:dyDescent="0.35">
      <c r="B32" s="10">
        <v>1</v>
      </c>
      <c r="C32" s="10" t="s">
        <v>1354</v>
      </c>
      <c r="D32" s="10">
        <f>VLOOKUP(C32,'OL-JOC - DOI details-from-figsh'!C:H,6,FALSE)</f>
        <v>0</v>
      </c>
      <c r="E32" s="11" t="s">
        <v>1355</v>
      </c>
      <c r="F32" s="11" t="str">
        <f t="shared" si="0"/>
        <v/>
      </c>
      <c r="G32" s="11" t="str">
        <f t="shared" si="1"/>
        <v>26;27;28;29;30;31;32;34;35;36;37;38;39;4;40;41;42;43;44</v>
      </c>
      <c r="H32" t="s">
        <v>1358</v>
      </c>
      <c r="I32" t="s">
        <v>1814</v>
      </c>
    </row>
    <row r="33" spans="1:20" ht="130.5" x14ac:dyDescent="0.35">
      <c r="A33" s="11" t="s">
        <v>1735</v>
      </c>
      <c r="C33" s="10" t="s">
        <v>1356</v>
      </c>
      <c r="D33" s="10">
        <f>VLOOKUP(C33,'OL-JOC - DOI details-from-figsh'!C:H,6,FALSE)</f>
        <v>34</v>
      </c>
      <c r="E33" s="11" t="s">
        <v>1639</v>
      </c>
      <c r="F33" s="11" t="str">
        <f t="shared" si="0"/>
        <v>1Br,H;1Cl,H;1F,Cl;1F,F;1F,H;1F,NO2;1F,OMe;FID for Publication;1I,H;1Me,H;2Br,H;2Cl,H;2F,CF3;2F,Cl;2F,F;2F,H;2F,OMe;2H,Br;2H,Cl;2H,F;2H,Me;2Me,H;S1Br,H;S1Cl,H;S1F,H;S1F,NO2;S1F,OMe;241211_SupplementalTables.xlsx;Conformer Coordinates for DFT;DFT_Electronic_Energies_of_Conformers.png;Diastereomer-RR.avi;2FBCA-adduct.data;2FBCA-adduct.params;onetraj.10000.dump;onetraj.100000.dump;onetraj.1000000.dump;onetraj.105000.dump;one</v>
      </c>
      <c r="G33" s="11" t="str">
        <f t="shared" si="1"/>
        <v>1Br,H;1Cl,H;1F,Cl;1F,F;1F,H;1F,NO2;1F,OMe;FID for Publication;1I,H;1Me,H;2Br,H;2Cl,H;2F,CF3;2F,Cl;2F,F;2F,H;2F,OMe;2H,Br;2H,Cl;2H,F;2H,Me;2Me,H;S1Br,H;S1Cl,H;S1F,H;S1F,NO2;S1F,OMe;241211_SupplementalTables.xlsx;Conformer Coordinates for DFT;DFT_Electronic_Energies_of_Conformers.png;Diastereomer-RR.avi;2FBCA-adduct.data;2FBCA-adduct.params;onetraj.10000.dump;onetraj.100000.dump;onetraj.1000000.dump;onetraj.105000.dump;one</v>
      </c>
      <c r="H33" t="s">
        <v>1362</v>
      </c>
      <c r="I33" t="s">
        <v>1645</v>
      </c>
    </row>
    <row r="34" spans="1:20" ht="101.5" x14ac:dyDescent="0.35">
      <c r="A34" s="11" t="s">
        <v>2233</v>
      </c>
      <c r="C34" s="10" t="s">
        <v>1358</v>
      </c>
      <c r="D34" s="10">
        <f>VLOOKUP(C34,'OL-JOC - DOI details-from-figsh'!C:H,6,FALSE)</f>
        <v>0</v>
      </c>
      <c r="E34" s="11" t="s">
        <v>1642</v>
      </c>
      <c r="F34" s="11" t="str">
        <f t="shared" si="0"/>
        <v>for 1a C NMR; for 1a H NMR; for 1b C NMR; for 1b H NMR; for 1c C NMR; for 1c H NMR; for 1d C NMR; for 1d H NMR; for 1e C NMR; for 1e F NMR; for 1e H NMR; for 1f C NMR; for 1f H NMR; for 1g C NMR; for 1g H NMR; for 1h C NMR; for 1h H NMR; for 1i C NMR; for 1i H NMR; for 1j C NMR; for 1j F NMR; for 1j H NMR; for 1k C NMR; for 1k H NMR; for 1l C NMR; for 1l H NMR; for 1m C NMR; for 1m H NMR; for 1n C NMR; for 1n H NMR; for</v>
      </c>
      <c r="G34" s="11" t="str">
        <f t="shared" si="1"/>
        <v>for 1a C NMR; for 1a H NMR; for 1b C NMR; for 1b H NMR; for 1c C NMR; for 1c H NMR; for 1d C NMR; for 1d H NMR; for 1e C NMR; for 1e F NMR; for 1e H NMR; for 1f C NMR; for 1f H NMR; for 1g C NMR; for 1g H NMR; for 1h C NMR; for 1h H NMR; for 1i C NMR; for 1i H NMR; for 1j C NMR; for 1j F NMR; for 1j H NMR; for 1k C NMR; for 1k H NMR; for 1l C NMR; for 1l H NMR; for 1m C NMR; for 1m H NMR; for 1n C NMR; for 1n H NMR; for</v>
      </c>
      <c r="H34" t="s">
        <v>1363</v>
      </c>
      <c r="I34" t="s">
        <v>1646</v>
      </c>
    </row>
    <row r="35" spans="1:20" ht="72.5" x14ac:dyDescent="0.35">
      <c r="A35" s="11" t="s">
        <v>2234</v>
      </c>
      <c r="C35" s="10" t="s">
        <v>1362</v>
      </c>
      <c r="D35" s="10">
        <f>VLOOKUP(C35,'OL-JOC - DOI details-from-figsh'!C:H,6,FALSE)</f>
        <v>52</v>
      </c>
      <c r="E35" s="11" t="s">
        <v>1645</v>
      </c>
      <c r="F35" s="11" t="str">
        <f t="shared" si="0"/>
        <v/>
      </c>
      <c r="G35" s="11" t="str">
        <f t="shared" si="1"/>
        <v>1n;1o;1p;1q;3a (2D NMR- COSY, HSQC and HMBC);3a;3b;3c;3d;3e;3f;3g;3h;3i;3j;3k;3l;3m;3n;3o;3p;3q;3r;3s;3t;3u;4a (2D NMR-COSY, HSQC and HMBC);4a;4b;4c;4d;4e;4f;4g;4h;4i;4j;4k;4l;4m;4n;4o;4p;4q;4r;4s;4t;5 (2D NMR - COSY and HSQC);5;i;ii;iii;iv</v>
      </c>
      <c r="H35" t="s">
        <v>1364</v>
      </c>
      <c r="I35" t="s">
        <v>1365</v>
      </c>
    </row>
    <row r="36" spans="1:20" ht="29" x14ac:dyDescent="0.35">
      <c r="B36" s="10">
        <v>1</v>
      </c>
      <c r="C36" s="10" t="s">
        <v>1363</v>
      </c>
      <c r="D36" s="10">
        <f>VLOOKUP(C36,'OL-JOC - DOI details-from-figsh'!C:H,6,FALSE)</f>
        <v>36</v>
      </c>
      <c r="E36" s="11" t="s">
        <v>1646</v>
      </c>
      <c r="F36" s="11" t="str">
        <f t="shared" si="0"/>
        <v/>
      </c>
      <c r="G36" s="11" t="str">
        <f t="shared" si="1"/>
        <v>3a;3b;3c;3d;3e;3f;3g;3h;3i;3j;3k;3l;3m;3n;4b;4c;4d;4e;4f;4g;4h;4i;4j;4k;4l;4m;5a;7a;Scheme 4;9a;9b;9c;1m;1n;2m;2n</v>
      </c>
      <c r="H36" t="s">
        <v>1366</v>
      </c>
      <c r="I36" t="s">
        <v>1832</v>
      </c>
    </row>
    <row r="37" spans="1:20" ht="87" x14ac:dyDescent="0.35">
      <c r="B37" s="10">
        <v>1</v>
      </c>
      <c r="C37" s="10" t="s">
        <v>1364</v>
      </c>
      <c r="D37" s="10">
        <f>VLOOKUP(C37,'OL-JOC - DOI details-from-figsh'!C:H,6,FALSE)</f>
        <v>52</v>
      </c>
      <c r="E37" s="11" t="s">
        <v>1365</v>
      </c>
      <c r="F37" s="11" t="str">
        <f t="shared" si="0"/>
        <v/>
      </c>
      <c r="G37" s="11" t="str">
        <f t="shared" si="1"/>
        <v>[10b-CC];[10b-NC];[11b];[11s];[12b];[13b];[16s];[1a];[1b];[1c];[1e];[1f];[1g];[1h];[1i];[1j];[1k];[1l];[1n];[1o];[1p];[1q];[1r];[1s];[1t];[1u];[1v];[2a];[2b];[2c];[2d];[2e];[2f];[2g];[2gg];[2i];[2j];[2k];[2l];[2m];[2n];[2o];[2s];[2t];[3a];[4b];[5b-major];[5b-minor];[5bII];[7b];[8b];[8s];[9b];[E12s];[E13s];[E15b];[E15s]</v>
      </c>
      <c r="H37" t="s">
        <v>1367</v>
      </c>
      <c r="I37" t="s">
        <v>1368</v>
      </c>
      <c r="J37">
        <v>1</v>
      </c>
      <c r="K37" t="s">
        <v>1834</v>
      </c>
      <c r="L37" t="s">
        <v>1835</v>
      </c>
      <c r="M37" t="s">
        <v>1836</v>
      </c>
      <c r="N37" t="s">
        <v>1837</v>
      </c>
      <c r="O37" t="s">
        <v>1838</v>
      </c>
      <c r="P37" t="s">
        <v>1839</v>
      </c>
      <c r="Q37" t="s">
        <v>1840</v>
      </c>
      <c r="R37" t="s">
        <v>1841</v>
      </c>
      <c r="S37" t="s">
        <v>1842</v>
      </c>
      <c r="T37" t="s">
        <v>1056</v>
      </c>
    </row>
    <row r="38" spans="1:20" ht="116" x14ac:dyDescent="0.35">
      <c r="A38" s="11" t="s">
        <v>2235</v>
      </c>
      <c r="C38" s="10" t="s">
        <v>1366</v>
      </c>
      <c r="D38" s="10">
        <f>VLOOKUP(C38,'OL-JOC - DOI details-from-figsh'!C:H,6,FALSE)</f>
        <v>61</v>
      </c>
      <c r="E38" s="11" t="s">
        <v>1647</v>
      </c>
      <c r="F38" s="11" t="str">
        <f t="shared" si="0"/>
        <v>10-C;10-F;10-H;3a-C;3a-F;3a-H;3b-C;3b-F;3b-H;3c-C;3c-F;3c-H;3d-C;3d-F;3d-H;3e-C;3e-F;3e-H;3f-C;3f-F;3f-H;3g-C;3g-F;3g-H;3h-C;3h-F;3h-H;3i-C;3i-F;3i-H;3j-C;3j-F;3j-H;3k-C;3k-F;3k-H;3l-C;3l-F;3l-H;3m-C;3m-F;3m-H;3n-C;3n-F;3n-H;3o-C;3o-F;3o-h;3p-C;3p-F;3p-H;4-C;4-F;4-H;5-C;5-F;5-H;6-C;6-H;9-C;9-H</v>
      </c>
      <c r="G38" s="11" t="str">
        <f t="shared" si="1"/>
        <v>10-C;10-F;10-H;3a-C;3a-F;3a-H;3b-C;3b-F;3b-H;3c-C;3c-F;3c-H;3d-C;3d-F;3d-H;3e-C;3e-F;3e-H;3f-C;3f-F;3f-H;3g-C;3g-F;3g-H;3h-C;3h-F;3h-H;3i-C;3i-F;3i-H;3j-C;3j-F;3j-H;3k-C;3k-F;3k-H;3l-C;3l-F;3l-H;3m-C;3m-F;3m-H;3n-C;3n-F;3n-H;3o-C;3o-F;3o-h;3p-C;3p-F;3p-H;4-C;4-F;4-H;5-C;5-F;5-H;6-C;6-H;9-C;9-H</v>
      </c>
      <c r="H38" t="s">
        <v>1369</v>
      </c>
      <c r="I38" t="s">
        <v>1833</v>
      </c>
    </row>
    <row r="39" spans="1:20" ht="29" x14ac:dyDescent="0.35">
      <c r="B39" s="10">
        <v>1</v>
      </c>
      <c r="C39" s="10" t="s">
        <v>1367</v>
      </c>
      <c r="D39" s="10">
        <f>VLOOKUP(C39,'OL-JOC - DOI details-from-figsh'!C:H,6,FALSE)</f>
        <v>38</v>
      </c>
      <c r="E39" s="11" t="s">
        <v>1368</v>
      </c>
      <c r="F39" s="11" t="str">
        <f t="shared" si="0"/>
        <v/>
      </c>
      <c r="G39" s="11" t="str">
        <f t="shared" si="1"/>
        <v>14;1n;3a;3aa;3ab;3ac+3ad;3ae;3b;3c;3d;3e;3f;3g;3h;3i;3j;3k;3l;3m;3n;3o;3p;3q;3r;3s;3t;3u;3v;3w;3x;3y+3z;4a;4b;4c;4d;4e;4f;4g</v>
      </c>
      <c r="H39" t="s">
        <v>1371</v>
      </c>
      <c r="I39" t="s">
        <v>1843</v>
      </c>
    </row>
    <row r="40" spans="1:20" ht="101.5" x14ac:dyDescent="0.35">
      <c r="B40" s="10">
        <v>1</v>
      </c>
      <c r="C40" s="10" t="s">
        <v>1369</v>
      </c>
      <c r="D40" s="10">
        <f>VLOOKUP(C40,'OL-JOC - DOI details-from-figsh'!C:H,6,FALSE)</f>
        <v>62</v>
      </c>
      <c r="E40" s="11" t="s">
        <v>1649</v>
      </c>
      <c r="F40" s="11" t="str">
        <f t="shared" si="0"/>
        <v>13C 3a;13C 3b;13C 3c;13C 3d;13C 3e;13C 3f;13C 3g;13C 3h;13C 3i;13C 3j;13C 3k;13C 3l;13C 3m;13C 3n;13C 3o;13C 3p;13C 3q;13C 3r;13C 3s;13C 3t;13C 6aa;13C 6bc;13C 6ca;13C 6db;13C 6eb;13C 6fb;13C 6ga;13C 6ha;13C 6ic;13C 8a;13C 8e;1H-3a;1H-3b;1H-3c;1H-3d;1H-3e;1H-3f;1H-3g;1H-3h;1H-3i;1H-3j;1H-3k;1H-3l;1H-3m;1H-3n;1H-3o;1H-3p;1H-3q;1H-3r;1H-3s;1H-3t;1H-6aa;1H-6bc;1H-6ca;1H-6db;1H-6eb;1H-6fb;1H-6ga;1H-6ha;1H-6ic;1H-8a;1H-8e;New</v>
      </c>
      <c r="G40" s="11" t="str">
        <f t="shared" si="1"/>
        <v>13C 3a;13C 3b;13C 3c;13C 3d;13C 3e;13C 3f;13C 3g;13C 3h;13C 3i;13C 3j;13C 3k;13C 3l;13C 3m;13C 3n;13C 3o;13C 3p;13C 3q;13C 3r;13C 3s;13C 3t;13C 6aa;13C 6bc;13C 6ca;13C 6db;13C 6eb;13C 6fb;13C 6ga;13C 6ha;13C 6ic;13C 8a;13C 8e;1H-3a;1H-3b;1H-3c;1H-3d;1H-3e;1H-3f;1H-3g;1H-3h;1H-3i;1H-3j;1H-3k;1H-3l;1H-3m;1H-3n;1H-3o;1H-3p;1H-3q;1H-3r;1H-3s;1H-3t;1H-6aa;1H-6bc;1H-6ca;1H-6db;1H-6eb;1H-6fb;1H-6ga;1H-6ha;1H-6ic;1H-8a;1H-8e;New</v>
      </c>
      <c r="H40" t="s">
        <v>1372</v>
      </c>
      <c r="I40" t="s">
        <v>1651</v>
      </c>
    </row>
    <row r="41" spans="1:20" ht="29" x14ac:dyDescent="0.35">
      <c r="A41" s="11" t="s">
        <v>2236</v>
      </c>
      <c r="B41" s="10" t="s">
        <v>2237</v>
      </c>
      <c r="C41" s="10" t="s">
        <v>1371</v>
      </c>
      <c r="D41" s="10">
        <f>VLOOKUP(C41,'OL-JOC - DOI details-from-figsh'!C:H,6,FALSE)</f>
        <v>0</v>
      </c>
      <c r="E41" s="11" t="s">
        <v>1650</v>
      </c>
      <c r="F41" s="11" t="str">
        <f t="shared" si="0"/>
        <v>TS1 IF;TS1 IRC;TS1' IF;TS1' IRC;TS2' IF;TS2' IRC;TS5b IF;TS5b IRC;TS7 IF;TS7 IRC</v>
      </c>
      <c r="G41" s="11" t="str">
        <f t="shared" si="1"/>
        <v>TS1 IF;TS1 IRC;TS1' IF;TS1' IRC;TS2' IF;TS2' IRC;TS5b IF;TS5b IRC;TS7 IF;TS7 IRC</v>
      </c>
      <c r="H41" t="s">
        <v>1374</v>
      </c>
      <c r="I41" t="s">
        <v>1375</v>
      </c>
    </row>
    <row r="42" spans="1:20" ht="58" x14ac:dyDescent="0.35">
      <c r="B42" s="10">
        <v>1</v>
      </c>
      <c r="C42" s="10" t="s">
        <v>1372</v>
      </c>
      <c r="D42" s="10">
        <f>VLOOKUP(C42,'OL-JOC - DOI details-from-figsh'!C:H,6,FALSE)</f>
        <v>44</v>
      </c>
      <c r="E42" s="11" t="s">
        <v>1651</v>
      </c>
      <c r="F42" s="11" t="str">
        <f t="shared" si="0"/>
        <v/>
      </c>
      <c r="G42" s="11" t="str">
        <f t="shared" si="1"/>
        <v>(E)-24;(Z)-24;10;11;12;13;14;15;18;19;20;21;22;23;25;26;27;28;29;30;31;33;34;35;39;40;41;42;43;44 (major dia);44 (minor dia);5;6;7;8;9;S1;S2;S3;S4;S5;S6</v>
      </c>
      <c r="H42" t="s">
        <v>1376</v>
      </c>
      <c r="I42" t="s">
        <v>1844</v>
      </c>
    </row>
    <row r="43" spans="1:20" ht="101.5" x14ac:dyDescent="0.35">
      <c r="B43" s="10">
        <v>1</v>
      </c>
      <c r="C43" s="10" t="s">
        <v>1373</v>
      </c>
      <c r="D43" s="10">
        <f>VLOOKUP(C43,'OL-JOC - DOI details-from-figsh'!C:H,6,FALSE)</f>
        <v>164</v>
      </c>
      <c r="E43" s="11" t="s">
        <v>1652</v>
      </c>
      <c r="F43" s="11" t="e">
        <f t="shared" si="0"/>
        <v>#N/A</v>
      </c>
      <c r="G43" s="11" t="e">
        <f t="shared" si="1"/>
        <v>#N/A</v>
      </c>
      <c r="H43" t="s">
        <v>1378</v>
      </c>
      <c r="I43" t="s">
        <v>1654</v>
      </c>
    </row>
    <row r="44" spans="1:20" ht="29" x14ac:dyDescent="0.35">
      <c r="B44" s="10">
        <v>1</v>
      </c>
      <c r="C44" s="10" t="s">
        <v>1374</v>
      </c>
      <c r="D44" s="10">
        <f>VLOOKUP(C44,'OL-JOC - DOI details-from-figsh'!C:H,6,FALSE)</f>
        <v>38</v>
      </c>
      <c r="E44" s="11" t="s">
        <v>1375</v>
      </c>
      <c r="F44" s="11" t="str">
        <f t="shared" si="0"/>
        <v/>
      </c>
      <c r="G44" s="11" t="str">
        <f t="shared" si="1"/>
        <v>3a;3b;3c;3d;3e;3f;3g;3h;3i;3j;3k;3l;3m;3n;3o;3p;3q;3r;3s;3t;3u;3v;3w;3x;3y;3z;4c;4d;4e;4f;5a;5b;5c;5d;5e;5f;5g;6a</v>
      </c>
      <c r="H44" t="s">
        <v>1379</v>
      </c>
      <c r="I44" t="s">
        <v>1655</v>
      </c>
    </row>
    <row r="45" spans="1:20" ht="87" x14ac:dyDescent="0.35">
      <c r="A45" s="11" t="s">
        <v>2238</v>
      </c>
      <c r="B45" s="10">
        <v>1</v>
      </c>
      <c r="C45" s="10" t="s">
        <v>1376</v>
      </c>
      <c r="D45" s="10">
        <f>VLOOKUP(C45,'OL-JOC - DOI details-from-figsh'!C:H,6,FALSE)</f>
        <v>44</v>
      </c>
      <c r="E45" s="11" t="s">
        <v>1377</v>
      </c>
      <c r="F45" s="11" t="str">
        <f t="shared" si="0"/>
        <v>2a;2b;2c;2a-k;2d;2e;2f;2g;2h;2i;2j;2k;4a;4b;4a-k;4c;4d;4e;4f;4g;4h;4i;4j;4k;5a;5b;5c;5d;5e;5a-e;6c';6c;6d;7f;9a;9b;9a-g;9c;9d;9e;9f;9g</v>
      </c>
      <c r="G45" s="11" t="str">
        <f t="shared" si="1"/>
        <v>2a;2b;2c;2a-k;2d;2e;2f;2g;2h;2i;2j;2k;4a;4b;4a-k;4c;4d;4e;4f;4g;4h;4i;4j;4k;5a;5b;5c;5d;5e;5a-e;6c';6c;6d;7f;9a;9b;9a-g;9c;9d;9e;9f;9g</v>
      </c>
      <c r="H45" t="s">
        <v>1380</v>
      </c>
      <c r="I45" t="s">
        <v>1381</v>
      </c>
    </row>
    <row r="46" spans="1:20" ht="29" x14ac:dyDescent="0.35">
      <c r="B46" s="10">
        <v>1</v>
      </c>
      <c r="C46" s="10" t="s">
        <v>1378</v>
      </c>
      <c r="D46" s="10">
        <f>VLOOKUP(C46,'OL-JOC - DOI details-from-figsh'!C:H,6,FALSE)</f>
        <v>22</v>
      </c>
      <c r="E46" s="11" t="s">
        <v>1654</v>
      </c>
      <c r="F46" s="11" t="str">
        <f t="shared" si="0"/>
        <v/>
      </c>
      <c r="G46" s="11" t="str">
        <f t="shared" si="1"/>
        <v>1m;1n;1p;2a';2a;2b;2c;2d;2e;2f;2g;2h;2i;2j;2k;2l;2m;2n;2o;2p;deuterated solvent experiment;light on and off</v>
      </c>
      <c r="H46" t="s">
        <v>1382</v>
      </c>
      <c r="I46" t="s">
        <v>1656</v>
      </c>
    </row>
    <row r="47" spans="1:20" ht="29" x14ac:dyDescent="0.35">
      <c r="B47" s="10">
        <v>1</v>
      </c>
      <c r="C47" s="10" t="s">
        <v>1379</v>
      </c>
      <c r="D47" s="10">
        <f>VLOOKUP(C47,'OL-JOC - DOI details-from-figsh'!C:H,6,FALSE)</f>
        <v>26</v>
      </c>
      <c r="E47" s="11" t="s">
        <v>1655</v>
      </c>
      <c r="F47" s="11" t="str">
        <f t="shared" si="0"/>
        <v/>
      </c>
      <c r="G47" s="11" t="str">
        <f t="shared" si="1"/>
        <v>3a;3b;3c;3d;3e;3f;3g;3h;3i;3j;3k;3l;3m;3n;3o;3p;3q;6a;6b;6d;6g;6l;6p;6q;Scheme 4a 1H NMR</v>
      </c>
      <c r="H47" t="s">
        <v>1383</v>
      </c>
      <c r="I47" t="s">
        <v>1384</v>
      </c>
    </row>
    <row r="48" spans="1:20" ht="29" x14ac:dyDescent="0.35">
      <c r="A48" s="11" t="s">
        <v>1735</v>
      </c>
      <c r="C48" s="10" t="s">
        <v>1380</v>
      </c>
      <c r="D48" s="10">
        <f>VLOOKUP(C48,'OL-JOC - DOI details-from-figsh'!C:H,6,FALSE)</f>
        <v>82</v>
      </c>
      <c r="E48" s="11" t="s">
        <v>1381</v>
      </c>
      <c r="F48" s="11" t="str">
        <f t="shared" si="0"/>
        <v/>
      </c>
      <c r="G48" s="11" t="str">
        <f t="shared" si="1"/>
        <v>10;3a;3b;3c;3d;3e;3f;3g;3h;3i;3j;3k;3l;3n-I;3n-II;3o-I;3o-II;3p;3s;4a;4b;4c;4d;4e;4f;4h;4i;4j;4k;4l;4o;4q;4s;6;S2;S6</v>
      </c>
      <c r="H48" t="s">
        <v>1385</v>
      </c>
      <c r="I48" t="s">
        <v>1845</v>
      </c>
    </row>
    <row r="49" spans="1:30" ht="72.5" x14ac:dyDescent="0.35">
      <c r="A49" s="11" t="s">
        <v>2287</v>
      </c>
      <c r="B49" s="10" t="s">
        <v>1095</v>
      </c>
      <c r="C49" s="10" t="s">
        <v>1382</v>
      </c>
      <c r="D49" s="10" t="e">
        <f>VLOOKUP(C49,'OL-JOC - DOI details-from-figsh'!C:H,6,FALSE)</f>
        <v>#N/A</v>
      </c>
      <c r="E49" s="11" t="s">
        <v>1656</v>
      </c>
      <c r="F49" s="11" t="str">
        <f t="shared" si="0"/>
        <v/>
      </c>
      <c r="G49" s="11" t="str">
        <f t="shared" si="1"/>
        <v>(+) and (-) Colchicine VCD Report.pdf;(+) and (-) DM-MTC VCD Report.pdf;(+) and (-) IsoDM-MTC VCD Report.pdf;(+) and (-) Isocolchicine VCD Report.pdf;Bejcecine;Dimer;Monomer;Isobejcecine;DFT Coordinates for VCD.docx;CompRotationalBarriers_xyz_files</v>
      </c>
      <c r="H49" t="s">
        <v>1386</v>
      </c>
      <c r="I49" t="s">
        <v>1387</v>
      </c>
    </row>
    <row r="50" spans="1:30" ht="43.5" x14ac:dyDescent="0.35">
      <c r="B50" s="10">
        <v>1</v>
      </c>
      <c r="C50" s="10" t="s">
        <v>1383</v>
      </c>
      <c r="D50" s="10">
        <f>VLOOKUP(C50,'OL-JOC - DOI details-from-figsh'!C:H,6,FALSE)</f>
        <v>45</v>
      </c>
      <c r="E50" s="11" t="s">
        <v>1384</v>
      </c>
      <c r="F50" s="11" t="str">
        <f t="shared" si="0"/>
        <v/>
      </c>
      <c r="G50" s="11" t="str">
        <f t="shared" si="1"/>
        <v>10;11;12;DMSO;Pyridine;14a;14b;14c;14d;2d;3a;3aa;3ab;3ac;3ad;3b;3c;3d;3e;3f;3g;3h;3i;3j;3k;3l;3m;3n;3o;3p;3q;3r;3s;3t;3u;3v;3w;3x;3y;3z;5;6;7;8;9</v>
      </c>
      <c r="H50" t="s">
        <v>1388</v>
      </c>
      <c r="I50" t="s">
        <v>1658</v>
      </c>
    </row>
    <row r="51" spans="1:30" ht="72.5" x14ac:dyDescent="0.35">
      <c r="A51" s="11" t="s">
        <v>2239</v>
      </c>
      <c r="C51" s="10" t="s">
        <v>1385</v>
      </c>
      <c r="D51" s="10">
        <f>VLOOKUP(C51,'OL-JOC - DOI details-from-figsh'!C:H,6,FALSE)</f>
        <v>14</v>
      </c>
      <c r="E51" s="11" t="s">
        <v>1657</v>
      </c>
      <c r="F51" s="11" t="str">
        <f t="shared" si="0"/>
        <v>10;11a;12;13;14;16;17;18;19;20;23;24;29;30;11-C;11-H;11-COSY;11-HMBC;11-HSQC;11-NOE; 31 C; 31 COSY; 31 H; 31 HSQC; 31 NOE; 31HMBC</v>
      </c>
      <c r="G51" s="11" t="str">
        <f t="shared" si="1"/>
        <v>10;11a;12;13;14;16;17;18;19;20;23;24;29;30;11-C;11-H;11-COSY;11-HMBC;11-HSQC;11-NOE; 31 C; 31 COSY; 31 H; 31 HSQC; 31 NOE; 31HMBC</v>
      </c>
      <c r="H51" t="s">
        <v>1389</v>
      </c>
      <c r="I51" t="s">
        <v>1390</v>
      </c>
    </row>
    <row r="52" spans="1:30" ht="29" x14ac:dyDescent="0.35">
      <c r="B52" s="10">
        <v>1</v>
      </c>
      <c r="C52" s="10" t="s">
        <v>1386</v>
      </c>
      <c r="D52" s="10">
        <f>VLOOKUP(C52,'OL-JOC - DOI details-from-figsh'!C:H,6,FALSE)</f>
        <v>38</v>
      </c>
      <c r="E52" s="11" t="s">
        <v>1387</v>
      </c>
      <c r="F52" s="11" t="str">
        <f t="shared" si="0"/>
        <v/>
      </c>
      <c r="G52" s="11" t="str">
        <f t="shared" si="1"/>
        <v>3aa;3ab;3ac;3ad;3ae;3af;3ag;3ah;3ai;3aj;3am;3ba;3ca;3da;3ea;3fa;3ga;3ka;3la;3ma;4;5;1d;1e;1h;1i;1j;2a;2b;2d;2e;2f;2g;2h;2i;2j;2k;2l</v>
      </c>
      <c r="H52" t="s">
        <v>1391</v>
      </c>
      <c r="I52" t="s">
        <v>1392</v>
      </c>
      <c r="J52" t="s">
        <v>1847</v>
      </c>
      <c r="K52" t="s">
        <v>1848</v>
      </c>
      <c r="L52" t="s">
        <v>1849</v>
      </c>
      <c r="M52" t="s">
        <v>1850</v>
      </c>
      <c r="N52" t="s">
        <v>1700</v>
      </c>
      <c r="O52" t="s">
        <v>1851</v>
      </c>
      <c r="P52" t="s">
        <v>1852</v>
      </c>
      <c r="Q52" t="s">
        <v>1853</v>
      </c>
      <c r="R52" t="s">
        <v>1854</v>
      </c>
      <c r="S52">
        <v>100</v>
      </c>
      <c r="T52" t="s">
        <v>1855</v>
      </c>
      <c r="U52" t="s">
        <v>1856</v>
      </c>
      <c r="V52" t="s">
        <v>1857</v>
      </c>
      <c r="W52" t="s">
        <v>1858</v>
      </c>
      <c r="X52" t="s">
        <v>1859</v>
      </c>
      <c r="Y52" t="s">
        <v>1860</v>
      </c>
      <c r="Z52" t="s">
        <v>1861</v>
      </c>
      <c r="AA52" t="s">
        <v>1862</v>
      </c>
      <c r="AB52" t="s">
        <v>1863</v>
      </c>
      <c r="AC52" t="s">
        <v>1864</v>
      </c>
      <c r="AD52" t="s">
        <v>1865</v>
      </c>
    </row>
    <row r="53" spans="1:30" ht="29" x14ac:dyDescent="0.35">
      <c r="B53" s="10">
        <v>1</v>
      </c>
      <c r="C53" s="10" t="s">
        <v>1388</v>
      </c>
      <c r="D53" s="10">
        <f>VLOOKUP(C53,'OL-JOC - DOI details-from-figsh'!C:H,6,FALSE)</f>
        <v>12</v>
      </c>
      <c r="E53" s="11" t="s">
        <v>1658</v>
      </c>
      <c r="F53" s="11" t="str">
        <f t="shared" si="0"/>
        <v/>
      </c>
      <c r="G53" s="11" t="str">
        <f t="shared" si="1"/>
        <v>Silole-AC.mnova;Silole-AC;Silole-PXZ.mnova;Silole-PXZ;Silole-Ph-AC.mnova;Silole-Ph-AC;Silole-Ph-PXZ.mnova;Silole-Ph-PXZ NMR</v>
      </c>
      <c r="H53" t="s">
        <v>1393</v>
      </c>
      <c r="I53" t="s">
        <v>1846</v>
      </c>
    </row>
    <row r="54" spans="1:30" x14ac:dyDescent="0.35">
      <c r="B54" s="10">
        <v>1</v>
      </c>
      <c r="C54" s="10" t="s">
        <v>1389</v>
      </c>
      <c r="D54" s="10">
        <f>VLOOKUP(C54,'OL-JOC - DOI details-from-figsh'!C:H,6,FALSE)</f>
        <v>15</v>
      </c>
      <c r="E54" s="11" t="s">
        <v>1390</v>
      </c>
      <c r="F54" s="11" t="str">
        <f t="shared" si="0"/>
        <v/>
      </c>
      <c r="G54" s="11" t="str">
        <f t="shared" si="1"/>
        <v>11;13';13;14;15;16;17;18;19;20;5;6;7;9;SI1</v>
      </c>
      <c r="H54" t="s">
        <v>1394</v>
      </c>
      <c r="I54" t="s">
        <v>1395</v>
      </c>
    </row>
    <row r="55" spans="1:30" ht="29" x14ac:dyDescent="0.35">
      <c r="B55" s="10">
        <v>1</v>
      </c>
      <c r="C55" s="10" t="s">
        <v>1391</v>
      </c>
      <c r="D55" s="10">
        <f>VLOOKUP(C55,'OL-JOC - DOI details-from-figsh'!C:H,6,FALSE)</f>
        <v>33</v>
      </c>
      <c r="E55" s="11" t="s">
        <v>1392</v>
      </c>
      <c r="F55" s="11" t="str">
        <f t="shared" si="0"/>
        <v/>
      </c>
      <c r="G55" s="11" t="str">
        <f t="shared" si="1"/>
        <v>3a;3aa;3ab;3ac;3ad;3ae;3af;3ag;3ah;3ai;3ak;3al;3am;3an;3ao;3b;3c;3d;3e;3f;3g;3h;3i;3j;3k;3l;3m;3n;3o;3q;3r;3s;3t</v>
      </c>
      <c r="H55" t="s">
        <v>1396</v>
      </c>
      <c r="I55" t="s">
        <v>1660</v>
      </c>
    </row>
    <row r="56" spans="1:30" ht="116" x14ac:dyDescent="0.35">
      <c r="A56" s="11" t="s">
        <v>2239</v>
      </c>
      <c r="C56" s="10" t="s">
        <v>1393</v>
      </c>
      <c r="D56" s="10">
        <f>VLOOKUP(C56,'OL-JOC - DOI details-from-figsh'!C:H,6,FALSE)</f>
        <v>108</v>
      </c>
      <c r="E56" s="11" t="s">
        <v>1659</v>
      </c>
      <c r="F56" s="11" t="str">
        <f t="shared" si="0"/>
        <v>2a_(SJ-1311(2)_13C)_51;2a_(SJ-1311(2)_1H)_4;2b_(BKK-BrCH2CN(2)_H)or SJ-1326(Me)__4;2b_(SJ-1326(Me)_13C)_111;2c_(SJ-1342(p-OMe)_13C)_596;2c_(SJ-1342(p-OMe)_1H)_4;2d_(SJ-1330_13C)_42;2d_(SJ-1330_19F)_1;2d_(SJ-1330_1H)_3;2e_(SJ-1327_13C)_32;2e_(SJ-1327_1H)_2;2f_(SJ-1359P_13C)_105 PURE;2f_(SJ-1359P_1H)_1 PURE;2g_(BKK-276_13C)_562;2g_(BKK-276_1H)_4;2h_(BKK-278_13C)_269;2h_(BKK-278_1H)_1;2i_(SJ-1343_13C)_402;2i_(SJ-1343_19F)_4</v>
      </c>
      <c r="G56" s="11" t="str">
        <f t="shared" si="1"/>
        <v>2a_(SJ-1311(2)_13C)_51;2a_(SJ-1311(2)_1H)_4;2b_(BKK-BrCH2CN(2)_H)or SJ-1326(Me)__4;2b_(SJ-1326(Me)_13C)_111;2c_(SJ-1342(p-OMe)_13C)_596;2c_(SJ-1342(p-OMe)_1H)_4;2d_(SJ-1330_13C)_42;2d_(SJ-1330_19F)_1;2d_(SJ-1330_1H)_3;2e_(SJ-1327_13C)_32;2e_(SJ-1327_1H)_2;2f_(SJ-1359P_13C)_105 PURE;2f_(SJ-1359P_1H)_1 PURE;2g_(BKK-276_13C)_562;2g_(BKK-276_1H)_4;2h_(BKK-278_13C)_269;2h_(BKK-278_1H)_1;2i_(SJ-1343_13C)_402;2i_(SJ-1343_19F)_4</v>
      </c>
      <c r="H56" t="s">
        <v>1397</v>
      </c>
      <c r="I56" t="s">
        <v>1661</v>
      </c>
    </row>
    <row r="57" spans="1:30" ht="29" x14ac:dyDescent="0.35">
      <c r="A57" s="11" t="s">
        <v>2258</v>
      </c>
      <c r="C57" s="10" t="s">
        <v>1394</v>
      </c>
      <c r="D57" s="10">
        <f>VLOOKUP(C57,'OL-JOC - DOI details-from-figsh'!C:H,6,FALSE)</f>
        <v>10</v>
      </c>
      <c r="E57" s="11" t="s">
        <v>1395</v>
      </c>
      <c r="F57" s="11" t="str">
        <f t="shared" si="0"/>
        <v/>
      </c>
      <c r="G57" s="11" t="str">
        <f t="shared" si="1"/>
        <v>A1;A1_FID;A2;A2_FID;B1;B1_FID;C1;C1_FID;CH3C(CH2Br)3;CH3C(CH2Br)3_FID</v>
      </c>
      <c r="H57" t="s">
        <v>1398</v>
      </c>
      <c r="I57" t="s">
        <v>1662</v>
      </c>
    </row>
    <row r="58" spans="1:30" ht="29" x14ac:dyDescent="0.35">
      <c r="A58" s="11" t="s">
        <v>2289</v>
      </c>
      <c r="C58" s="10" t="s">
        <v>1396</v>
      </c>
      <c r="D58" s="10">
        <f>VLOOKUP(C58,'OL-JOC - DOI details-from-figsh'!C:H,6,FALSE)</f>
        <v>13</v>
      </c>
      <c r="E58" s="11" t="s">
        <v>1660</v>
      </c>
      <c r="F58" s="11" t="str">
        <f t="shared" si="0"/>
        <v/>
      </c>
      <c r="G58" s="11" t="str">
        <f t="shared" si="1"/>
        <v>1;4;5;6;8;9;Instrument information for collecting and analyzing data.txt;Ph-B;bis-TFB;bis-bis-SFB;bis-s-SFB;s-TFB;s-bis-SFB;s-s-SFB</v>
      </c>
      <c r="H58" t="s">
        <v>1401</v>
      </c>
      <c r="I58" t="s">
        <v>1866</v>
      </c>
    </row>
    <row r="59" spans="1:30" ht="29" x14ac:dyDescent="0.35">
      <c r="B59" s="10">
        <v>1</v>
      </c>
      <c r="C59" s="10" t="s">
        <v>1397</v>
      </c>
      <c r="D59" s="10">
        <f>VLOOKUP(C59,'OL-JOC - DOI details-from-figsh'!C:H,6,FALSE)</f>
        <v>47</v>
      </c>
      <c r="E59" s="11" t="s">
        <v>1661</v>
      </c>
      <c r="F59" s="11" t="str">
        <f t="shared" si="0"/>
        <v/>
      </c>
      <c r="G59" s="11" t="str">
        <f t="shared" si="1"/>
        <v>1a;1aa;1ab;1ac;1ad;1ae;1b;1c;1d;1e;1f;1g;1h;1i;1j;1k;1l;1m;1n;1o;1p;1q;1r;1s;1t;1u;1v;1w;1x;2a;2b;2c;2d;2e;3a;4a;4b;4c;4d;4e;4f;4g &amp; 4h;4i;4j;5a;5c;5d</v>
      </c>
      <c r="H59" t="s">
        <v>1402</v>
      </c>
      <c r="I59" t="s">
        <v>1665</v>
      </c>
    </row>
    <row r="60" spans="1:30" x14ac:dyDescent="0.35">
      <c r="A60" s="11" t="s">
        <v>2240</v>
      </c>
      <c r="C60" s="10" t="s">
        <v>1398</v>
      </c>
      <c r="D60" s="10">
        <f>VLOOKUP(C60,'OL-JOC - DOI details-from-figsh'!C:H,6,FALSE)</f>
        <v>10</v>
      </c>
      <c r="E60" s="11" t="s">
        <v>1662</v>
      </c>
      <c r="F60" s="11" t="str">
        <f t="shared" si="0"/>
        <v/>
      </c>
      <c r="G60" s="11" t="str">
        <f t="shared" si="1"/>
        <v>3 C;3 H;4 C;4 H;5 C;5 H;6 C;6 H;7 C;7 H</v>
      </c>
      <c r="H60" t="s">
        <v>1403</v>
      </c>
      <c r="I60" t="s">
        <v>1404</v>
      </c>
    </row>
    <row r="61" spans="1:30" ht="116" x14ac:dyDescent="0.35">
      <c r="A61" s="11" t="s">
        <v>2241</v>
      </c>
      <c r="B61" s="10" t="s">
        <v>1095</v>
      </c>
      <c r="C61" s="10" t="s">
        <v>1400</v>
      </c>
      <c r="D61" s="10" t="e">
        <f>VLOOKUP(C61,'OL-JOC - DOI details-from-figsh'!C:H,6,FALSE)</f>
        <v>#N/A</v>
      </c>
      <c r="E61" s="11" t="s">
        <v>1663</v>
      </c>
      <c r="F61" s="11" t="e">
        <f t="shared" si="0"/>
        <v>#N/A</v>
      </c>
      <c r="G61" s="11" t="e">
        <f t="shared" si="1"/>
        <v>#N/A</v>
      </c>
      <c r="H61" t="s">
        <v>1408</v>
      </c>
      <c r="I61" t="s">
        <v>1409</v>
      </c>
    </row>
    <row r="62" spans="1:30" x14ac:dyDescent="0.35">
      <c r="B62" s="10">
        <v>1</v>
      </c>
      <c r="C62" s="10" t="s">
        <v>1401</v>
      </c>
      <c r="D62" s="10">
        <f>VLOOKUP(C62,'OL-JOC - DOI details-from-figsh'!C:H,6,FALSE)</f>
        <v>6</v>
      </c>
      <c r="E62" s="11" t="s">
        <v>1664</v>
      </c>
      <c r="F62" s="11" t="str">
        <f t="shared" si="0"/>
        <v>10; 11; 12; 15; 18; 4</v>
      </c>
      <c r="G62" s="11" t="str">
        <f t="shared" si="1"/>
        <v>10; 11; 12; 15; 18; 4</v>
      </c>
      <c r="H62" t="s">
        <v>1410</v>
      </c>
      <c r="I62" t="s">
        <v>1667</v>
      </c>
    </row>
    <row r="63" spans="1:30" ht="58" x14ac:dyDescent="0.35">
      <c r="A63" s="11" t="s">
        <v>2242</v>
      </c>
      <c r="C63" s="10" t="s">
        <v>1402</v>
      </c>
      <c r="D63" s="10">
        <f>VLOOKUP(C63,'OL-JOC - DOI details-from-figsh'!C:H,6,FALSE)</f>
        <v>7</v>
      </c>
      <c r="E63" s="11" t="s">
        <v>1665</v>
      </c>
      <c r="F63" s="11" t="str">
        <f t="shared" si="0"/>
        <v/>
      </c>
      <c r="G63" s="11" t="str">
        <f t="shared" si="1"/>
        <v>Compound 1;Compound 10;Compound 4;Compound 5;Compound 7;Compound 8;Compound 9;Spectrometer Information.txt;comp1.mol;comp10.mol;comp4.mol;comp5.mol;comp7.mol;comp8.mol;comp9.mol</v>
      </c>
      <c r="H63" t="s">
        <v>1413</v>
      </c>
      <c r="I63" t="s">
        <v>1414</v>
      </c>
    </row>
    <row r="64" spans="1:30" ht="43.5" x14ac:dyDescent="0.35">
      <c r="B64" s="10">
        <v>1</v>
      </c>
      <c r="C64" s="10" t="s">
        <v>1403</v>
      </c>
      <c r="D64" s="10">
        <f>VLOOKUP(C64,'OL-JOC - DOI details-from-figsh'!C:H,6,FALSE)</f>
        <v>45</v>
      </c>
      <c r="E64" s="11" t="s">
        <v>1404</v>
      </c>
      <c r="F64" s="11" t="str">
        <f t="shared" si="0"/>
        <v/>
      </c>
      <c r="G64" s="11" t="str">
        <f t="shared" si="1"/>
        <v>10;11;12;13;14;15;16;17a;17b;17c;3a;3ab;3b;3c;3d;3e;3f;3g;3h;3i;3j;3k;3l;3m;3n;3o;3p;3q;3r;3s;3t;3u;3v;3w;3x;3y;3z;5a;5b;7a;7b;7c;7d;7e;9</v>
      </c>
      <c r="H64" t="s">
        <v>1415</v>
      </c>
      <c r="I64" t="s">
        <v>1416</v>
      </c>
    </row>
    <row r="65" spans="1:30" ht="43.5" x14ac:dyDescent="0.35">
      <c r="B65" s="10">
        <v>1</v>
      </c>
      <c r="C65" s="10" t="s">
        <v>1405</v>
      </c>
      <c r="D65" s="10">
        <f>VLOOKUP(C65,'OL-JOC - DOI details-from-figsh'!C:H,6,FALSE)</f>
        <v>69</v>
      </c>
      <c r="E65" s="11" t="s">
        <v>1406</v>
      </c>
      <c r="F65" s="11" t="e">
        <f t="shared" si="0"/>
        <v>#N/A</v>
      </c>
      <c r="G65" s="11" t="e">
        <f t="shared" si="1"/>
        <v>#N/A</v>
      </c>
      <c r="H65" t="s">
        <v>1417</v>
      </c>
      <c r="I65" t="s">
        <v>1668</v>
      </c>
    </row>
    <row r="66" spans="1:30" ht="43.5" x14ac:dyDescent="0.35">
      <c r="A66" s="11" t="s">
        <v>2253</v>
      </c>
      <c r="C66" s="10" t="s">
        <v>1407</v>
      </c>
      <c r="D66" s="10" t="e">
        <f>VLOOKUP(C66,'OL-JOC - DOI details-from-figsh'!C:H,6,FALSE)</f>
        <v>#N/A</v>
      </c>
      <c r="E66" s="11" t="s">
        <v>1666</v>
      </c>
      <c r="F66" s="11" t="e">
        <f t="shared" si="0"/>
        <v>#N/A</v>
      </c>
      <c r="G66" s="11" t="e">
        <f t="shared" si="1"/>
        <v>#N/A</v>
      </c>
      <c r="H66" t="s">
        <v>1418</v>
      </c>
      <c r="I66" t="s">
        <v>1867</v>
      </c>
    </row>
    <row r="67" spans="1:30" ht="87" x14ac:dyDescent="0.35">
      <c r="A67" s="11" t="s">
        <v>2291</v>
      </c>
      <c r="B67" s="10" t="s">
        <v>1095</v>
      </c>
      <c r="C67" s="10" t="s">
        <v>1408</v>
      </c>
      <c r="D67" s="10" t="e">
        <f>VLOOKUP(C67,'OL-JOC - DOI details-from-figsh'!C:H,6,FALSE)</f>
        <v>#N/A</v>
      </c>
      <c r="E67" s="11" t="s">
        <v>1409</v>
      </c>
      <c r="F67" s="11" t="str">
        <f t="shared" ref="F67:F130" si="2">IF(G67=E67,"",G67)</f>
        <v/>
      </c>
      <c r="G67" s="11" t="str">
        <f t="shared" ref="G67:G130" si="3">VLOOKUP(C67,H:I,2,FALSE)</f>
        <v>Complex_1+2;Complex_1+3;Complex_1+4;Complex_1+5;Complex_1+6;Complex_1+7;Complex_2+3;Complex_2+4;Complex_2+5;Complex_2+6;Complex_2+7;Complex_3+4;Complex_3+5;Complex_3+6;Complex_3+7;Complex_4+5;Complex_4+6;Complex_4+7;Dimer_1+1;Dimer_2+2;Dimer_3+3;Dimer_4+4;Monomer_1;Monomer_2;Monomer_3;Monomer_4;Monomer_5;Monomer_6;Monomer_7</v>
      </c>
      <c r="H67" t="s">
        <v>1419</v>
      </c>
      <c r="I67" t="s">
        <v>1670</v>
      </c>
    </row>
    <row r="68" spans="1:30" ht="43.5" x14ac:dyDescent="0.35">
      <c r="A68" s="11" t="s">
        <v>2243</v>
      </c>
      <c r="C68" s="10" t="s">
        <v>1410</v>
      </c>
      <c r="D68" s="10">
        <f>VLOOKUP(C68,'OL-JOC - DOI details-from-figsh'!C:H,6,FALSE)</f>
        <v>39</v>
      </c>
      <c r="E68" s="11" t="s">
        <v>1667</v>
      </c>
      <c r="F68" s="11" t="str">
        <f t="shared" si="2"/>
        <v/>
      </c>
      <c r="G68" s="11" t="str">
        <f t="shared" si="3"/>
        <v>2 1H;3 13C;4c 13C;4c 1H;5a 13C;5a 1H;5g 13C;5g 1H;6a 1H;6b 13C;6b 1H;6g 13C;6g 1H;7a 13C;7a 1H;7b 13C;7b 1H;7d 13C;7d 1H;7k 13C;7k 1H</v>
      </c>
      <c r="H68" t="s">
        <v>1420</v>
      </c>
      <c r="I68" t="s">
        <v>1671</v>
      </c>
    </row>
    <row r="69" spans="1:30" x14ac:dyDescent="0.35">
      <c r="A69" s="11" t="s">
        <v>2290</v>
      </c>
      <c r="B69" s="10" t="s">
        <v>1095</v>
      </c>
      <c r="C69" s="10" t="s">
        <v>1411</v>
      </c>
      <c r="D69" s="10" t="e">
        <f>VLOOKUP(C69,'OL-JOC - DOI details-from-figsh'!C:H,6,FALSE)</f>
        <v>#N/A</v>
      </c>
      <c r="E69" s="11" t="s">
        <v>1412</v>
      </c>
      <c r="F69" s="11" t="e">
        <f t="shared" si="2"/>
        <v>#N/A</v>
      </c>
      <c r="G69" s="11" t="e">
        <f t="shared" si="3"/>
        <v>#N/A</v>
      </c>
      <c r="H69" t="s">
        <v>1421</v>
      </c>
      <c r="I69" t="s">
        <v>1672</v>
      </c>
    </row>
    <row r="70" spans="1:30" x14ac:dyDescent="0.35">
      <c r="B70" s="10">
        <v>1</v>
      </c>
      <c r="C70" s="10" t="s">
        <v>1413</v>
      </c>
      <c r="D70" s="10">
        <f>VLOOKUP(C70,'OL-JOC - DOI details-from-figsh'!C:H,6,FALSE)</f>
        <v>7</v>
      </c>
      <c r="E70" s="11" t="s">
        <v>1414</v>
      </c>
      <c r="F70" s="11" t="str">
        <f t="shared" si="2"/>
        <v/>
      </c>
      <c r="G70" s="11" t="str">
        <f t="shared" si="3"/>
        <v>1;2;3;4;5;6;7</v>
      </c>
      <c r="H70" t="s">
        <v>1422</v>
      </c>
      <c r="I70" t="s">
        <v>1673</v>
      </c>
      <c r="J70" t="s">
        <v>1869</v>
      </c>
      <c r="K70" t="s">
        <v>1870</v>
      </c>
      <c r="L70" t="s">
        <v>1871</v>
      </c>
      <c r="M70" t="s">
        <v>1872</v>
      </c>
      <c r="N70" t="s">
        <v>1873</v>
      </c>
      <c r="O70" t="s">
        <v>1838</v>
      </c>
      <c r="P70" t="s">
        <v>1874</v>
      </c>
      <c r="Q70" t="s">
        <v>1875</v>
      </c>
      <c r="R70" t="s">
        <v>1876</v>
      </c>
      <c r="S70" t="s">
        <v>1877</v>
      </c>
      <c r="T70" t="s">
        <v>1878</v>
      </c>
      <c r="U70" t="s">
        <v>1879</v>
      </c>
      <c r="V70" t="s">
        <v>1880</v>
      </c>
      <c r="W70" t="s">
        <v>1881</v>
      </c>
      <c r="X70" t="s">
        <v>1882</v>
      </c>
      <c r="Y70" t="s">
        <v>1883</v>
      </c>
      <c r="Z70" t="s">
        <v>1884</v>
      </c>
      <c r="AA70" t="s">
        <v>1885</v>
      </c>
      <c r="AB70" t="s">
        <v>1869</v>
      </c>
      <c r="AC70" t="s">
        <v>1886</v>
      </c>
      <c r="AD70" t="s">
        <v>1887</v>
      </c>
    </row>
    <row r="71" spans="1:30" x14ac:dyDescent="0.35">
      <c r="A71" s="11" t="s">
        <v>2244</v>
      </c>
      <c r="C71" s="10" t="s">
        <v>1415</v>
      </c>
      <c r="D71" s="10">
        <f>VLOOKUP(C71,'OL-JOC - DOI details-from-figsh'!C:H,6,FALSE)</f>
        <v>9</v>
      </c>
      <c r="E71" s="11" t="s">
        <v>1416</v>
      </c>
      <c r="F71" s="11" t="str">
        <f t="shared" si="2"/>
        <v/>
      </c>
      <c r="G71" s="11" t="str">
        <f t="shared" si="3"/>
        <v>Kaszynski_PhotoRevisit_SI.pdf;1a;1b;1c;1d;1e;1f;1g;1h;1i</v>
      </c>
      <c r="H71" t="s">
        <v>1423</v>
      </c>
      <c r="I71" t="s">
        <v>1868</v>
      </c>
    </row>
    <row r="72" spans="1:30" ht="87" x14ac:dyDescent="0.35">
      <c r="A72" s="11" t="s">
        <v>2292</v>
      </c>
      <c r="C72" s="10" t="s">
        <v>1417</v>
      </c>
      <c r="D72" s="10">
        <f>VLOOKUP(C72,'OL-JOC - DOI details-from-figsh'!C:H,6,FALSE)</f>
        <v>0</v>
      </c>
      <c r="E72" s="11" t="s">
        <v>1668</v>
      </c>
      <c r="F72" s="11" t="str">
        <f t="shared" si="2"/>
        <v/>
      </c>
      <c r="G72" s="11" t="str">
        <f t="shared" si="3"/>
        <v>CDFT data of 10Â·H+.txt;CDFT data of 1Â·H+.txt;CDFT data of 2Â·H+.txt;CDFT data of 3Â·H+.txt;CDFT data of 4Â·H+.txt;CDFT data of 5Â·H+.txt;CDFT data of 6Â·H+.txt;CDFT data of 7Â·H+.txt;CDFT data of 8Â·H+.txt;CDFT data of 9Â·H+.txt;CDFT results (Multiwfn).txt;N+1;N-1;N-2;N;Optimization of imineÂ·H+;Optimization of imineÂ·H+@CB7;FID for publication</v>
      </c>
      <c r="H72" t="s">
        <v>1424</v>
      </c>
      <c r="I72" t="s">
        <v>1425</v>
      </c>
    </row>
    <row r="73" spans="1:30" ht="29" x14ac:dyDescent="0.35">
      <c r="B73" s="10">
        <v>1</v>
      </c>
      <c r="C73" s="10" t="s">
        <v>1418</v>
      </c>
      <c r="D73" s="10">
        <f>VLOOKUP(C73,'OL-JOC - DOI details-from-figsh'!C:H,6,FALSE)</f>
        <v>36</v>
      </c>
      <c r="E73" s="11" t="s">
        <v>1669</v>
      </c>
      <c r="F73" s="11" t="str">
        <f t="shared" si="2"/>
        <v>2n;2o;2p;2q;2r; a; b; c; d; e; f; g; h; i; j; k; l; m; n; o; p; q; r; s; t; u; v; w; x; y; z;aa;ab;5;7;8</v>
      </c>
      <c r="G73" s="11" t="str">
        <f t="shared" si="3"/>
        <v>2n;2o;2p;2q;2r; a; b; c; d; e; f; g; h; i; j; k; l; m; n; o; p; q; r; s; t; u; v; w; x; y; z;aa;ab;5;7;8</v>
      </c>
      <c r="H73" t="s">
        <v>1426</v>
      </c>
      <c r="I73" t="s">
        <v>1427</v>
      </c>
    </row>
    <row r="74" spans="1:30" ht="29" x14ac:dyDescent="0.35">
      <c r="A74" s="11" t="s">
        <v>2245</v>
      </c>
      <c r="C74" s="10" t="s">
        <v>1419</v>
      </c>
      <c r="D74" s="10">
        <f>VLOOKUP(C74,'OL-JOC - DOI details-from-figsh'!C:H,6,FALSE)</f>
        <v>8</v>
      </c>
      <c r="E74" s="11" t="s">
        <v>1670</v>
      </c>
      <c r="F74" s="11" t="str">
        <f t="shared" si="2"/>
        <v/>
      </c>
      <c r="G74" s="11" t="str">
        <f t="shared" si="3"/>
        <v>3e 3f 3g.mnova;Document 111.mnova;HRMS data for new compounds.doc</v>
      </c>
      <c r="H74" t="s">
        <v>1428</v>
      </c>
      <c r="I74" t="s">
        <v>1429</v>
      </c>
    </row>
    <row r="75" spans="1:30" ht="29" x14ac:dyDescent="0.35">
      <c r="A75" s="11" t="s">
        <v>2246</v>
      </c>
      <c r="C75" s="10" t="s">
        <v>1420</v>
      </c>
      <c r="D75" s="10">
        <f>VLOOKUP(C75,'OL-JOC - DOI details-from-figsh'!C:H,6,FALSE)</f>
        <v>30</v>
      </c>
      <c r="E75" s="11" t="s">
        <v>1671</v>
      </c>
      <c r="F75" s="11" t="str">
        <f t="shared" si="2"/>
        <v/>
      </c>
      <c r="G75" s="11" t="str">
        <f t="shared" si="3"/>
        <v>12;13;1g;1i;3a;3b;3c;3d;3e;3f;3g;3h;3i;3j;3k;3l;3m;3n;3o;3p;3q;3r;3s;3t;3u;3v;3w;3x;4a;9;The information.docx</v>
      </c>
      <c r="H75" t="s">
        <v>1430</v>
      </c>
      <c r="I75" t="s">
        <v>1888</v>
      </c>
    </row>
    <row r="76" spans="1:30" ht="43.5" x14ac:dyDescent="0.35">
      <c r="B76" s="10">
        <v>1</v>
      </c>
      <c r="C76" s="10" t="s">
        <v>1421</v>
      </c>
      <c r="D76" s="10">
        <f>VLOOKUP(C76,'OL-JOC - DOI details-from-figsh'!C:H,6,FALSE)</f>
        <v>49</v>
      </c>
      <c r="E76" s="11" t="s">
        <v>1672</v>
      </c>
      <c r="F76" s="11" t="str">
        <f t="shared" si="2"/>
        <v/>
      </c>
      <c r="G76" s="11" t="str">
        <f t="shared" si="3"/>
        <v>1f;1h;1i;1j;1k;1l;1n;1o;1p;3aa;3ab;3ba;3bb;3ca;3da;3db;3ea;3eb;3fa;3ga;3ha;3hb;3ia;3ja;3ka;3la;3oa;3pa;4ac;4ad;4ae;4af;4ag;4ah;4ai;4aj;4ak;4al;4am;4an;4ao;4ap;4aq;6a;6b;6c;6d;deuterio 1a;deuterio 3aa</v>
      </c>
      <c r="H76" t="s">
        <v>1431</v>
      </c>
      <c r="I76" t="s">
        <v>1889</v>
      </c>
    </row>
    <row r="77" spans="1:30" ht="29" x14ac:dyDescent="0.35">
      <c r="A77" s="11" t="s">
        <v>2293</v>
      </c>
      <c r="C77" s="10" t="s">
        <v>1422</v>
      </c>
      <c r="D77" s="10">
        <f>VLOOKUP(C77,'OL-JOC - DOI details-from-figsh'!C:H,6,FALSE)</f>
        <v>11</v>
      </c>
      <c r="E77" s="11" t="s">
        <v>1673</v>
      </c>
      <c r="F77" s="11" t="str">
        <f t="shared" si="2"/>
        <v/>
      </c>
      <c r="G77" s="11" t="str">
        <f t="shared" si="3"/>
        <v>CARBON_01.fid;PROTON_01.fid;gCOSY_01.fid;HRMS;Tabulated Data.xlsx;c = 0.016;c = 0.032;Compound 7</v>
      </c>
      <c r="H77" t="s">
        <v>1433</v>
      </c>
      <c r="I77" t="s">
        <v>1890</v>
      </c>
    </row>
    <row r="78" spans="1:30" ht="116" x14ac:dyDescent="0.35">
      <c r="A78" s="11" t="s">
        <v>2247</v>
      </c>
      <c r="C78" s="10" t="s">
        <v>1423</v>
      </c>
      <c r="D78" s="10">
        <f>VLOOKUP(C78,'OL-JOC - DOI details-from-figsh'!C:H,6,FALSE)</f>
        <v>46</v>
      </c>
      <c r="E78" s="11" t="s">
        <v>1674</v>
      </c>
      <c r="F78" s="11" t="str">
        <f t="shared" si="2"/>
        <v>1a. TE345-P;1b. TE-CZ73-P_CDCl3;1c. TE383-P_ACT;1d. TE427-P_ACT;1e. KCE40-P_CDCl3;1f. TE426-P_ACT;1g. TE524-P_CDCl3;1h. CZ69-P_DSMO;1i. TE411-P_CDCl3;1j. CZ49-P_CDCl3;1k. KCE41-P_CDCl3;1l. TE429-P_ACT;1m. TE475-P_CDCl3;1n. TE572-P_CDCl3;1o. TE554-P_CDCl3;3a. TE-P_ACT;3b. TE517-P_ACT;3c. TE387-P_CDCl3;3d. TE461-P_ACT;3e. TE502-P_ACT;3f. TE462-P_ACT;3g. TE525-P_ACT;3h. CZ75-P_ACT;3i. TE422-P_ACT;3j. TE516-P_ACT;3k. KCE45-P</v>
      </c>
      <c r="G78" s="11" t="str">
        <f t="shared" si="3"/>
        <v>1a. TE345-P;1b. TE-CZ73-P_CDCl3;1c. TE383-P_ACT;1d. TE427-P_ACT;1e. KCE40-P_CDCl3;1f. TE426-P_ACT;1g. TE524-P_CDCl3;1h. CZ69-P_DSMO;1i. TE411-P_CDCl3;1j. CZ49-P_CDCl3;1k. KCE41-P_CDCl3;1l. TE429-P_ACT;1m. TE475-P_CDCl3;1n. TE572-P_CDCl3;1o. TE554-P_CDCl3;3a. TE-P_ACT;3b. TE517-P_ACT;3c. TE387-P_CDCl3;3d. TE461-P_ACT;3e. TE502-P_ACT;3f. TE462-P_ACT;3g. TE525-P_ACT;3h. CZ75-P_ACT;3i. TE422-P_ACT;3j. TE516-P_ACT;3k. KCE45-P</v>
      </c>
      <c r="H78" t="s">
        <v>1435</v>
      </c>
      <c r="I78" t="s">
        <v>1436</v>
      </c>
    </row>
    <row r="79" spans="1:30" ht="58" x14ac:dyDescent="0.35">
      <c r="B79" s="10">
        <v>1</v>
      </c>
      <c r="C79" s="10" t="s">
        <v>1424</v>
      </c>
      <c r="D79" s="10">
        <f>VLOOKUP(C79,'OL-JOC - DOI details-from-figsh'!C:H,6,FALSE)</f>
        <v>62</v>
      </c>
      <c r="E79" s="11" t="s">
        <v>1425</v>
      </c>
      <c r="F79" s="11" t="str">
        <f t="shared" si="2"/>
        <v/>
      </c>
      <c r="G79" s="11" t="str">
        <f t="shared" si="3"/>
        <v>10;3a;3aa';3aa;3ab';3ab;3ac';3ac;3ad';3ad;3ae';3ae;3af';3af;3ag;3ah;3ai;3aj;3b;3c;3d;3e;3f;3g;3h;3i;3j;3k;3l;3m;3n;3o;3p;3q;3r';3r;3s';3s;3t';3t;3u';3u;3v;3w';3w;3x';3x;3y';3y;3z';3z;5a';5a;5b';5b;5c';5c;5d';5d;5e';5e;5f';5f;5g';5g;5h';5h;5i';5i;5j';5j;6;7;8;9</v>
      </c>
      <c r="H79" t="s">
        <v>1437</v>
      </c>
      <c r="I79" t="s">
        <v>1438</v>
      </c>
    </row>
    <row r="80" spans="1:30" ht="43.5" x14ac:dyDescent="0.35">
      <c r="B80" s="10">
        <v>1</v>
      </c>
      <c r="C80" s="10" t="s">
        <v>1426</v>
      </c>
      <c r="D80" s="10">
        <f>VLOOKUP(C80,'OL-JOC - DOI details-from-figsh'!C:H,6,FALSE)</f>
        <v>51</v>
      </c>
      <c r="E80" s="11" t="s">
        <v>1427</v>
      </c>
      <c r="F80" s="11" t="str">
        <f t="shared" si="2"/>
        <v/>
      </c>
      <c r="G80" s="11" t="str">
        <f t="shared" si="3"/>
        <v>10;11a;11b;11c;11d;11e;11f;11g;11h;11i;12;13;14;15;16;17;18;19;1a';1a;1d;20;3a;3b;4a;4b;4d;5a';5a;5b;5c;8a;8b;8c;8d;8e;8f;8g;8h;8i;8j;9a;9aa;9b;9c;9d;9e;9f;9g;9h;9i</v>
      </c>
      <c r="H80" t="s">
        <v>1439</v>
      </c>
      <c r="I80" t="s">
        <v>1440</v>
      </c>
    </row>
    <row r="81" spans="1:30" ht="43.5" x14ac:dyDescent="0.35">
      <c r="B81" s="10">
        <v>1</v>
      </c>
      <c r="C81" s="10" t="s">
        <v>1428</v>
      </c>
      <c r="D81" s="10">
        <f>VLOOKUP(C81,'OL-JOC - DOI details-from-figsh'!C:H,6,FALSE)</f>
        <v>53</v>
      </c>
      <c r="E81" s="11" t="s">
        <v>1429</v>
      </c>
      <c r="F81" s="11" t="str">
        <f t="shared" si="2"/>
        <v/>
      </c>
      <c r="G81" s="11" t="str">
        <f t="shared" si="3"/>
        <v>1a;1b;1c;1d;1e;1f;1g;1h;1i;1j;1k;1l;1m;1n;1o;1p;1q;1r;1s;1t;1u;1v;1w;1x;1y;1z;2a;2b;2c;2d;2e;2f;2g;2h;2i;2j;2k;2l;2m';2m;2n';2n;2o;2p;2q;2r;2s;2t;2u;2v;2w;2x;2y;2z</v>
      </c>
      <c r="H81" t="s">
        <v>1441</v>
      </c>
      <c r="I81" t="s">
        <v>1442</v>
      </c>
    </row>
    <row r="82" spans="1:30" ht="29" x14ac:dyDescent="0.35">
      <c r="A82" s="11" t="s">
        <v>2248</v>
      </c>
      <c r="C82" s="10" t="s">
        <v>1430</v>
      </c>
      <c r="D82" s="10">
        <f>VLOOKUP(C82,'OL-JOC - DOI details-from-figsh'!C:H,6,FALSE)</f>
        <v>7</v>
      </c>
      <c r="E82" s="11" t="s">
        <v>1675</v>
      </c>
      <c r="F82" s="11" t="str">
        <f t="shared" si="2"/>
        <v>3'-C ;3'-H ;3-C ;3-H ;lzz-20230914-1-131;BN-AN-TPh-C ;BN-AN-TPh-H ;BN-ANH-TPh-C ;BN-ANH-TPh-H</v>
      </c>
      <c r="G82" s="11" t="str">
        <f t="shared" si="3"/>
        <v>3'-C ;3'-H ;3-C ;3-H ;lzz-20230914-1-131;BN-AN-TPh-C ;BN-AN-TPh-H ;BN-ANH-TPh-C ;BN-ANH-TPh-H</v>
      </c>
      <c r="H82" t="s">
        <v>1443</v>
      </c>
      <c r="I82" t="s">
        <v>1444</v>
      </c>
    </row>
    <row r="83" spans="1:30" ht="101.5" x14ac:dyDescent="0.35">
      <c r="A83" s="11" t="s">
        <v>2249</v>
      </c>
      <c r="B83" s="10" t="s">
        <v>1095</v>
      </c>
      <c r="C83" s="10" t="s">
        <v>1431</v>
      </c>
      <c r="D83" s="10" t="e">
        <f>VLOOKUP(C83,'OL-JOC - DOI details-from-figsh'!C:H,6,FALSE)</f>
        <v>#N/A</v>
      </c>
      <c r="E83" s="11" t="s">
        <v>1432</v>
      </c>
      <c r="F83" s="11" t="str">
        <f t="shared" si="2"/>
        <v>Acetonitrile-HOO;Acetonitrile;CHD-HOO-Acetonitrile_TS;CHD-HOO-DABCO_TS;CHD-HOO-DMSO_TS;CHD-HOO-Methanol_TS;CHD-HOO-Pyridine_TS;Cyclohexadiene;DABCO-HOO;DABCO;DMSO-HOO;DMSO;HOO-HOO-Acetonitrile_TS;HOO-HOO-DABCO_TS;HOO-HOO-DMSO_TS;HOO-HOO-Methanol_TS;HOO-HOO-Pyridine_TS;HOO-HOO_TS;HOO;Methanol-HOO;Methanol;Pyridine-HOO;Pyridine</v>
      </c>
      <c r="G83" s="11" t="str">
        <f t="shared" si="3"/>
        <v>Acetonitrile-HOO;Acetonitrile;CHD-HOO-Acetonitrile_TS;CHD-HOO-DABCO_TS;CHD-HOO-DMSO_TS;CHD-HOO-Methanol_TS;CHD-HOO-Pyridine_TS;Cyclohexadiene;DABCO-HOO;DABCO;DMSO-HOO;DMSO;HOO-HOO-Acetonitrile_TS;HOO-HOO-DABCO_TS;HOO-HOO-DMSO_TS;HOO-HOO-Methanol_TS;HOO-HOO-Pyridine_TS;HOO-HOO_TS;HOO;Methanol-HOO;Methanol;Pyridine-HOO;Pyridine</v>
      </c>
      <c r="H83" t="s">
        <v>1445</v>
      </c>
      <c r="I83" t="s">
        <v>1446</v>
      </c>
    </row>
    <row r="84" spans="1:30" ht="29" x14ac:dyDescent="0.35">
      <c r="A84" s="11" t="s">
        <v>2249</v>
      </c>
      <c r="B84" s="10" t="s">
        <v>1095</v>
      </c>
      <c r="C84" s="10" t="s">
        <v>1433</v>
      </c>
      <c r="D84" s="10" t="e">
        <f>VLOOKUP(C84,'OL-JOC - DOI details-from-figsh'!C:H,6,FALSE)</f>
        <v>#N/A</v>
      </c>
      <c r="E84" s="11" t="s">
        <v>1434</v>
      </c>
      <c r="F84" s="11" t="str">
        <f t="shared" si="2"/>
        <v>QA-1;QA-I1;QA-P1;QA-P2;QA-TS1;QA-TS2;QA-TS3;QT-1;QT-I1;QT-P1;QT-P2;QT-TS1;QT-TS2;QT-TS3</v>
      </c>
      <c r="G84" s="11" t="str">
        <f t="shared" si="3"/>
        <v>QA-1;QA-I1;QA-P1;QA-P2;QA-TS1;QA-TS2;QA-TS3;QT-1;QT-I1;QT-P1;QT-P2;QT-TS1;QT-TS2;QT-TS3</v>
      </c>
      <c r="H84" t="s">
        <v>1447</v>
      </c>
      <c r="I84" t="s">
        <v>1448</v>
      </c>
    </row>
    <row r="85" spans="1:30" ht="101.5" x14ac:dyDescent="0.35">
      <c r="A85" s="11" t="s">
        <v>2256</v>
      </c>
      <c r="C85" s="10" t="s">
        <v>1435</v>
      </c>
      <c r="D85" s="10">
        <f>VLOOKUP(C85,'OL-JOC - DOI details-from-figsh'!C:H,6,FALSE)</f>
        <v>51</v>
      </c>
      <c r="E85" s="11" t="s">
        <v>1436</v>
      </c>
      <c r="F85" s="11" t="str">
        <f t="shared" si="2"/>
        <v/>
      </c>
      <c r="G85" s="11" t="str">
        <f t="shared" si="3"/>
        <v>13C-2a';13C-3aa;13C-3ab;13C-3ac;13C-3ad;13C-3ae;13C-3af;13C-3ag;13C-3ah;13C-3ai;13C-3aj;13C-3ak;13C-3ba;13C-3ca;13C-3da;13C-3ea;13C-3fa;13C-3ga;13C-3ha;13C-3ia;13C-3ja;13C-3ka;13C-3la;13C-3ma;19F-3ae;19F-3af;19F-3ga;1H-2a';1H-3aa;1H-3ab;1H-3ac;1H-3ad;1H-3ae;1H-3af;1H-3ag;1H-3ah;1H-3ai;1H-3aj;1H-3ak;1H-3ba;1H-3ca;1H-3da;1H-3ea;1H-3fa;1H-3ga;1H-3ha;1H-3ia;1H-3ja;1H-3ka;1H-3la;1H-3ma</v>
      </c>
      <c r="H85" t="s">
        <v>1449</v>
      </c>
      <c r="I85" t="s">
        <v>1676</v>
      </c>
      <c r="J85" t="s">
        <v>1892</v>
      </c>
      <c r="K85" t="s">
        <v>1893</v>
      </c>
      <c r="L85" t="s">
        <v>1894</v>
      </c>
      <c r="M85" t="s">
        <v>1895</v>
      </c>
      <c r="N85" t="s">
        <v>1896</v>
      </c>
      <c r="O85" t="s">
        <v>1897</v>
      </c>
      <c r="P85" t="s">
        <v>1898</v>
      </c>
      <c r="Q85" t="s">
        <v>1899</v>
      </c>
      <c r="R85" t="s">
        <v>1680</v>
      </c>
      <c r="S85" t="s">
        <v>1900</v>
      </c>
    </row>
    <row r="86" spans="1:30" x14ac:dyDescent="0.35">
      <c r="A86" s="11" t="s">
        <v>2255</v>
      </c>
      <c r="B86" s="10" t="s">
        <v>1095</v>
      </c>
      <c r="C86" s="10" t="s">
        <v>1437</v>
      </c>
      <c r="D86" s="10" t="e">
        <f>VLOOKUP(C86,'OL-JOC - DOI details-from-figsh'!C:H,6,FALSE)</f>
        <v>#N/A</v>
      </c>
      <c r="E86" s="11" t="s">
        <v>1438</v>
      </c>
      <c r="F86" s="11" t="str">
        <f t="shared" si="2"/>
        <v/>
      </c>
      <c r="G86" s="11" t="str">
        <f t="shared" si="3"/>
        <v>A;B;C;D;E;F;TS-AB;TS-BC;TS-EF;Catalyst-solvent-and-other-TS;TS-CD</v>
      </c>
      <c r="H86" t="s">
        <v>1450</v>
      </c>
      <c r="I86" t="s">
        <v>1891</v>
      </c>
    </row>
    <row r="87" spans="1:30" ht="29" x14ac:dyDescent="0.35">
      <c r="B87" s="10">
        <v>1</v>
      </c>
      <c r="C87" s="10" t="s">
        <v>1439</v>
      </c>
      <c r="D87" s="10">
        <f>VLOOKUP(C87,'OL-JOC - DOI details-from-figsh'!C:H,6,FALSE)</f>
        <v>30</v>
      </c>
      <c r="E87" s="11" t="s">
        <v>1440</v>
      </c>
      <c r="F87" s="11" t="str">
        <f t="shared" si="2"/>
        <v/>
      </c>
      <c r="G87" s="11" t="str">
        <f t="shared" si="3"/>
        <v>3a;3b;3c;3d;3e;3f;3g;3h;3i;3j;3k;3l;3m;3n;3o;3p;3q;3r;3s;3t;3u;3v;4;L1;L2;L3;L4;L5;L6;L7</v>
      </c>
      <c r="H87" t="s">
        <v>1451</v>
      </c>
      <c r="I87" t="s">
        <v>1452</v>
      </c>
    </row>
    <row r="88" spans="1:30" ht="29" x14ac:dyDescent="0.35">
      <c r="B88" s="10">
        <v>1</v>
      </c>
      <c r="C88" s="10" t="s">
        <v>1441</v>
      </c>
      <c r="D88" s="10">
        <f>VLOOKUP(C88,'OL-JOC - DOI details-from-figsh'!C:H,6,FALSE)</f>
        <v>30</v>
      </c>
      <c r="E88" s="11" t="s">
        <v>1442</v>
      </c>
      <c r="F88" s="11" t="str">
        <f t="shared" si="2"/>
        <v/>
      </c>
      <c r="G88" s="11" t="str">
        <f t="shared" si="3"/>
        <v>3a;3b;3c;3d;3e;3f;3g;3h;3i;3j;3k;3l;3m;3n;3o;3p;3q;3r;3Ab;3Ac;3Ad;3Ae;3Ba;3Bc;3Bd;3Be;3Ca;3Cb;3Cd;3Ce;3Da;3Db;3Ea;3Fa</v>
      </c>
      <c r="H88" t="s">
        <v>1453</v>
      </c>
      <c r="I88" t="s">
        <v>1901</v>
      </c>
    </row>
    <row r="89" spans="1:30" x14ac:dyDescent="0.35">
      <c r="B89" s="10">
        <v>1</v>
      </c>
      <c r="C89" s="10" t="s">
        <v>1443</v>
      </c>
      <c r="D89" s="10">
        <f>VLOOKUP(C89,'OL-JOC - DOI details-from-figsh'!C:H,6,FALSE)</f>
        <v>13</v>
      </c>
      <c r="E89" s="11" t="s">
        <v>1444</v>
      </c>
      <c r="F89" s="11" t="str">
        <f t="shared" si="2"/>
        <v/>
      </c>
      <c r="G89" s="11" t="str">
        <f t="shared" si="3"/>
        <v>1;10;11'';11';11;12;14;15;16;17;18;8;9</v>
      </c>
      <c r="H89" t="s">
        <v>1455</v>
      </c>
      <c r="I89" t="s">
        <v>1456</v>
      </c>
    </row>
    <row r="90" spans="1:30" ht="29" x14ac:dyDescent="0.35">
      <c r="B90" s="10">
        <v>1</v>
      </c>
      <c r="C90" s="10" t="s">
        <v>1445</v>
      </c>
      <c r="D90" s="10">
        <f>VLOOKUP(C90,'OL-JOC - DOI details-from-figsh'!C:H,6,FALSE)</f>
        <v>26</v>
      </c>
      <c r="E90" s="11" t="s">
        <v>1446</v>
      </c>
      <c r="F90" s="11" t="str">
        <f t="shared" si="2"/>
        <v/>
      </c>
      <c r="G90" s="11" t="str">
        <f t="shared" si="3"/>
        <v>3aa;3ag;3ba;3ha;3ia;3ja';3ja;3ka;3la;4aa;4ab;4ac;4ad;4ae;4ba;4ca;4da;4ea;4fa;4ia;4ja;4la;5fa;5ha;5la;6aa</v>
      </c>
      <c r="H90" t="s">
        <v>1457</v>
      </c>
      <c r="I90" t="s">
        <v>1458</v>
      </c>
    </row>
    <row r="91" spans="1:30" ht="43.5" x14ac:dyDescent="0.35">
      <c r="B91" s="10">
        <v>1</v>
      </c>
      <c r="C91" s="10" t="s">
        <v>1447</v>
      </c>
      <c r="D91" s="10">
        <f>VLOOKUP(C91,'OL-JOC - DOI details-from-figsh'!C:H,6,FALSE)</f>
        <v>51</v>
      </c>
      <c r="E91" s="11" t="s">
        <v>1448</v>
      </c>
      <c r="F91" s="11" t="str">
        <f t="shared" si="2"/>
        <v/>
      </c>
      <c r="G91" s="11" t="str">
        <f t="shared" si="3"/>
        <v>3a;3b;3c;3d;3e;3f;3g;3h;3i;3j;3k;3l;3m;3n;3o;3q;3r;3s;3t;3u;3v;3w;3x;4a;4aa;4b;4c;4d;4e;4f;4g;4h;4i;4j;4k;4l;4m;4n;4o;4r;4s;4t;4u;4v;4w;4y;5;6;8;I;Ia</v>
      </c>
      <c r="H91" t="s">
        <v>1459</v>
      </c>
      <c r="I91" t="s">
        <v>1460</v>
      </c>
    </row>
    <row r="92" spans="1:30" ht="29" x14ac:dyDescent="0.35">
      <c r="B92" s="10">
        <v>1</v>
      </c>
      <c r="C92" s="10" t="s">
        <v>1449</v>
      </c>
      <c r="D92" s="10">
        <f>VLOOKUP(C92,'OL-JOC - DOI details-from-figsh'!C:H,6,FALSE)</f>
        <v>43</v>
      </c>
      <c r="E92" s="11" t="s">
        <v>1676</v>
      </c>
      <c r="F92" s="11" t="str">
        <f t="shared" si="2"/>
        <v/>
      </c>
      <c r="G92" s="11" t="str">
        <f t="shared" si="3"/>
        <v>3a;3b;3c;3d;3e;3f;3g;3h;3i;3j;3k;3l;3m;3n;3o;3p;3q;3r;3s;3t;3u;4a;4b;4c;4d;4e;4f;4g;4h;4i;4j;4k;4l;4m;4n;4o;4p;4q;4r;4s;4t;Table 4;Table 5</v>
      </c>
      <c r="H92" t="s">
        <v>1461</v>
      </c>
      <c r="I92" t="s">
        <v>1462</v>
      </c>
    </row>
    <row r="93" spans="1:30" ht="101.5" x14ac:dyDescent="0.35">
      <c r="A93" s="11" t="s">
        <v>2253</v>
      </c>
      <c r="B93" s="10" t="s">
        <v>1095</v>
      </c>
      <c r="C93" s="10" t="s">
        <v>1450</v>
      </c>
      <c r="D93" s="10" t="e">
        <f>VLOOKUP(C93,'OL-JOC - DOI details-from-figsh'!C:H,6,FALSE)</f>
        <v>#N/A</v>
      </c>
      <c r="E93" s="11" t="s">
        <v>1677</v>
      </c>
      <c r="F93" s="11" t="str">
        <f t="shared" si="2"/>
        <v>1;2;3-E;3-Z;3-int;4-Eg;5-Eg;7-Eg;e-iii;e-iv;ts3-E;ts3-Z;ts3-int;ts3-rot;ts3-rotE;ts3-rotZ;ts4-Ea;ts4-Eg;ts4-Za;ts4-Zg;ts5-Eg;ts5-Eg_anti;8;cis-3-E;cis-3-Z;cis-3-int;cis-ts3-E;cis-ts3-Z;cis-ts3-int;cis-ts3-rot;cis-ts3-rotE;cis-ts3-rotZ;trans-3-E;trans-3-Z;trans-3-int;trans-4-Za;trans-5-Za;trans-7-Za;trans-ts3-E;trans-ts3-Z;trans-ts3-int;trans-ts3-rot;trans-ts3-rotE;trans-ts3-rotZ;trans-ts4-Ea;trans-ts4-Eg;trans-ts4-Za;tra</v>
      </c>
      <c r="G93" s="11" t="str">
        <f t="shared" si="3"/>
        <v>1;2;3-E;3-Z;3-int;4-Eg;5-Eg;7-Eg;e-iii;e-iv;ts3-E;ts3-Z;ts3-int;ts3-rot;ts3-rotE;ts3-rotZ;ts4-Ea;ts4-Eg;ts4-Za;ts4-Zg;ts5-Eg;ts5-Eg_anti;8;cis-3-E;cis-3-Z;cis-3-int;cis-ts3-E;cis-ts3-Z;cis-ts3-int;cis-ts3-rot;cis-ts3-rotE;cis-ts3-rotZ;trans-3-E;trans-3-Z;trans-3-int;trans-4-Za;trans-5-Za;trans-7-Za;trans-ts3-E;trans-ts3-Z;trans-ts3-int;trans-ts3-rot;trans-ts3-rotE;trans-ts3-rotZ;trans-ts4-Ea;trans-ts4-Eg;trans-ts4-Za;tra</v>
      </c>
      <c r="H93" t="s">
        <v>1463</v>
      </c>
      <c r="I93" t="s">
        <v>1902</v>
      </c>
    </row>
    <row r="94" spans="1:30" ht="29" x14ac:dyDescent="0.35">
      <c r="B94" s="10">
        <v>1</v>
      </c>
      <c r="C94" s="10" t="s">
        <v>1451</v>
      </c>
      <c r="D94" s="10">
        <f>VLOOKUP(C94,'OL-JOC - DOI details-from-figsh'!C:H,6,FALSE)</f>
        <v>32</v>
      </c>
      <c r="E94" s="11" t="s">
        <v>1452</v>
      </c>
      <c r="F94" s="11" t="str">
        <f t="shared" si="2"/>
        <v/>
      </c>
      <c r="G94" s="11" t="str">
        <f t="shared" si="3"/>
        <v>3a;3b;3c;3d;3e;3f;3g;3h;3i;3j;D-1a;3k;3l;3m;3n;3p;3q;3r;3s;4a;4b;4c;4d;4e;4f;4g;4h;4i;4j;4k;5;6</v>
      </c>
      <c r="H94" t="s">
        <v>1465</v>
      </c>
      <c r="I94" t="s">
        <v>1466</v>
      </c>
    </row>
    <row r="95" spans="1:30" ht="87" x14ac:dyDescent="0.35">
      <c r="A95" s="11" t="s">
        <v>2267</v>
      </c>
      <c r="B95" s="10">
        <v>1</v>
      </c>
      <c r="C95" s="10" t="s">
        <v>1453</v>
      </c>
      <c r="D95" s="10">
        <f>VLOOKUP(C95,'OL-JOC - DOI details-from-figsh'!C:H,6,FALSE)</f>
        <v>77</v>
      </c>
      <c r="E95" s="11" t="s">
        <v>1454</v>
      </c>
      <c r="F95" s="11" t="str">
        <f t="shared" si="2"/>
        <v>0a-3C;0a-H;a'-3C;a'-H;a-3C;a-H;b-3C;b-H;c-3C;c-H;d-3C;d-H;e-3C;e-H;f-3C;f-H;g-3C;g-H;h-3C;h-H;i-3C;i-H;j-3C;j-H;k-3C;k-H;l-3C;l-H;m-3C;m-H;n-3C;n-H;o-3C;o-H;p-3C;p-H;q-3C;q-H;r-3C;r-H;s-3C;sH;t-3C;t-H;u-3C;u-H;v-3C;v-H;w-3C;w-H;x-3C;x-H;y-3C;y-H;2a-3C;2a-H;3a-3C;3a-H;4-3C;4-H;4a-3C;4a-H;5a-3C;5a-H;6a-3C;6a-9F;6a-H;7a-3C;7a-H;8a-3C;8a-H;8z-3C;8z-H;9a-3C;9a-H;I-3C;I-H</v>
      </c>
      <c r="G95" s="11" t="str">
        <f t="shared" si="3"/>
        <v>0a-3C;0a-H;a'-3C;a'-H;a-3C;a-H;b-3C;b-H;c-3C;c-H;d-3C;d-H;e-3C;e-H;f-3C;f-H;g-3C;g-H;h-3C;h-H;i-3C;i-H;j-3C;j-H;k-3C;k-H;l-3C;l-H;m-3C;m-H;n-3C;n-H;o-3C;o-H;p-3C;p-H;q-3C;q-H;r-3C;r-H;s-3C;sH;t-3C;t-H;u-3C;u-H;v-3C;v-H;w-3C;w-H;x-3C;x-H;y-3C;y-H;2a-3C;2a-H;3a-3C;3a-H;4-3C;4-H;4a-3C;4a-H;5a-3C;5a-H;6a-3C;6a-9F;6a-H;7a-3C;7a-H;8a-3C;8a-H;8z-3C;8z-H;9a-3C;9a-H;I-3C;I-H</v>
      </c>
      <c r="H95" t="s">
        <v>1467</v>
      </c>
      <c r="I95" t="s">
        <v>1468</v>
      </c>
    </row>
    <row r="96" spans="1:30" ht="87" x14ac:dyDescent="0.35">
      <c r="A96" s="11" t="s">
        <v>2258</v>
      </c>
      <c r="C96" s="10" t="s">
        <v>1455</v>
      </c>
      <c r="D96" s="10" t="e">
        <f>VLOOKUP(C96,'OL-JOC - DOI details-from-figsh'!C:H,6,FALSE)</f>
        <v>#N/A</v>
      </c>
      <c r="E96" s="11" t="s">
        <v>1456</v>
      </c>
      <c r="F96" s="11" t="str">
        <f t="shared" si="2"/>
        <v/>
      </c>
      <c r="G96" s="11" t="str">
        <f t="shared" si="3"/>
        <v>4a_13C;4a_1H;4b_13C;4b_1H;4c_13C;4c_1H;4d_13C;4d_1H;4e_13C;4e_19F;4e_1H;4f_13C;4f_1H;4g_13C;4g_19F;4g_1H;4h_13C;4h_1H;4i_13C;4i_1H;4j_13C;4j_1H;4k_13C;4k_1H;4l_13C;4l_19F;4l_1H;4m_13C;4m_1H;4n_13C;4n_1H;4o_13C;4o_1H;4p_13C;4p_1H;4q_13C;4q_1H;4r_13C;4r_1H;4r_COSEY;4r_NOSEY;4s_13C;4s_1H;4t_13C;4t_1H;4u_13C;4u_1H;4v_13C;4v_1H;5j_13C;5j_1H;6_13C;6_1H</v>
      </c>
      <c r="H96" t="s">
        <v>1469</v>
      </c>
      <c r="I96" t="s">
        <v>1470</v>
      </c>
      <c r="J96" t="s">
        <v>1904</v>
      </c>
      <c r="K96" t="s">
        <v>1905</v>
      </c>
      <c r="L96" t="s">
        <v>1906</v>
      </c>
      <c r="M96" t="s">
        <v>1907</v>
      </c>
      <c r="N96" t="s">
        <v>1904</v>
      </c>
      <c r="O96">
        <v>1</v>
      </c>
      <c r="P96" t="s">
        <v>1908</v>
      </c>
      <c r="Q96" t="s">
        <v>1909</v>
      </c>
      <c r="R96" t="s">
        <v>1910</v>
      </c>
      <c r="S96" t="s">
        <v>1911</v>
      </c>
      <c r="T96" t="s">
        <v>1912</v>
      </c>
      <c r="U96" t="s">
        <v>1913</v>
      </c>
      <c r="V96" t="s">
        <v>1914</v>
      </c>
      <c r="W96" t="s">
        <v>1915</v>
      </c>
      <c r="X96" t="s">
        <v>1916</v>
      </c>
      <c r="Y96" t="s">
        <v>1917</v>
      </c>
      <c r="Z96" t="s">
        <v>1918</v>
      </c>
      <c r="AA96" t="s">
        <v>1919</v>
      </c>
      <c r="AB96" t="s">
        <v>1920</v>
      </c>
      <c r="AC96" t="s">
        <v>1921</v>
      </c>
      <c r="AD96" t="s">
        <v>1922</v>
      </c>
    </row>
    <row r="97" spans="1:30" x14ac:dyDescent="0.35">
      <c r="A97" s="11" t="s">
        <v>2259</v>
      </c>
      <c r="B97" s="10">
        <v>1</v>
      </c>
      <c r="C97" s="10" t="s">
        <v>1457</v>
      </c>
      <c r="D97" s="10">
        <f>VLOOKUP(C97,'OL-JOC - DOI details-from-figsh'!C:H,6,FALSE)</f>
        <v>8</v>
      </c>
      <c r="E97" s="11" t="s">
        <v>1458</v>
      </c>
      <c r="F97" s="11" t="str">
        <f t="shared" si="2"/>
        <v/>
      </c>
      <c r="G97" s="11" t="str">
        <f t="shared" si="3"/>
        <v>3a;3a2+;3b;3b2+;3c;3c2+;3d;3d2+;spectrometer.txt</v>
      </c>
      <c r="H97" t="s">
        <v>1471</v>
      </c>
      <c r="I97" t="s">
        <v>1903</v>
      </c>
    </row>
    <row r="98" spans="1:30" ht="29" x14ac:dyDescent="0.35">
      <c r="B98" s="10">
        <v>1</v>
      </c>
      <c r="C98" s="10" t="s">
        <v>1459</v>
      </c>
      <c r="D98" s="10">
        <f>VLOOKUP(C98,'OL-JOC - DOI details-from-figsh'!C:H,6,FALSE)</f>
        <v>34</v>
      </c>
      <c r="E98" s="11" t="s">
        <v>1460</v>
      </c>
      <c r="F98" s="11" t="str">
        <f t="shared" si="2"/>
        <v/>
      </c>
      <c r="G98" s="11" t="str">
        <f t="shared" si="3"/>
        <v>12;14;15;4a;4aa;4ab;4ac;4b;4c;4d;4e;4f;4g;4h;4i;4j;4k;4l;4m;4n;4o;4p;4q;4r;4s;4t;4u;4v;4w;4x;4y;4z;6';6</v>
      </c>
      <c r="H98" t="s">
        <v>1472</v>
      </c>
      <c r="I98" t="s">
        <v>1473</v>
      </c>
    </row>
    <row r="99" spans="1:30" ht="29" x14ac:dyDescent="0.35">
      <c r="B99" s="10">
        <v>1</v>
      </c>
      <c r="C99" s="10" t="s">
        <v>1461</v>
      </c>
      <c r="D99" s="10">
        <f>VLOOKUP(C99,'OL-JOC - DOI details-from-figsh'!C:H,6,FALSE)</f>
        <v>37</v>
      </c>
      <c r="E99" s="11" t="s">
        <v>1462</v>
      </c>
      <c r="F99" s="11" t="str">
        <f t="shared" si="2"/>
        <v/>
      </c>
      <c r="G99" s="11" t="str">
        <f t="shared" si="3"/>
        <v>1y;3a;3b;3c;3d;3e;3f;3g;3h;3i;3j;3k;3l;3m;3n;3o;3p;3q;3r;3s;3t;4a;4b;5a;5b;5c;5d;5e;5f;5g;5h;5i;5j;5k;5l;5m;5n</v>
      </c>
      <c r="H99" t="s">
        <v>1474</v>
      </c>
      <c r="I99" t="s">
        <v>1684</v>
      </c>
    </row>
    <row r="100" spans="1:30" ht="43.5" x14ac:dyDescent="0.35">
      <c r="A100" s="11" t="s">
        <v>2253</v>
      </c>
      <c r="B100" s="10" t="s">
        <v>1095</v>
      </c>
      <c r="C100" s="10" t="s">
        <v>1463</v>
      </c>
      <c r="D100" s="10" t="e">
        <f>VLOOKUP(C100,'OL-JOC - DOI details-from-figsh'!C:H,6,FALSE)</f>
        <v>#N/A</v>
      </c>
      <c r="E100" s="11" t="s">
        <v>1464</v>
      </c>
      <c r="F100" s="11" t="str">
        <f t="shared" si="2"/>
        <v>6c;6c_BS;6ca;6ca_BS;6cp;6cp_BS;6oa,a;6oa,p;6oa,p_S1min;6op,p;TS-6ca-6c;TS-6ca-6cp;TS-6oa,a-6ca;TS-6oa,a-6oa,p;TS-6oa,p-6cp;TS-6oa,p-6op,p</v>
      </c>
      <c r="G100" s="11" t="str">
        <f t="shared" si="3"/>
        <v>6c;6c_BS;6ca;6ca_BS;6cp;6cp_BS;6oa,a;6oa,p;6oa,p_S1min;6op,p;TS-6ca-6c;TS-6ca-6cp;TS-6oa,a-6ca;TS-6oa,a-6oa,p;TS-6oa,p-6cp;TS-6oa,p-6op,p</v>
      </c>
      <c r="H100" t="s">
        <v>1475</v>
      </c>
      <c r="I100" t="s">
        <v>1476</v>
      </c>
      <c r="J100" t="s">
        <v>1924</v>
      </c>
      <c r="K100" t="s">
        <v>1304</v>
      </c>
      <c r="L100" t="s">
        <v>1925</v>
      </c>
      <c r="M100" t="s">
        <v>1926</v>
      </c>
      <c r="N100" t="s">
        <v>1927</v>
      </c>
      <c r="O100" t="s">
        <v>1928</v>
      </c>
      <c r="P100" t="s">
        <v>1929</v>
      </c>
      <c r="Q100" t="s">
        <v>1930</v>
      </c>
      <c r="R100" t="s">
        <v>1931</v>
      </c>
      <c r="S100" t="s">
        <v>1927</v>
      </c>
      <c r="T100" t="s">
        <v>1932</v>
      </c>
      <c r="U100" t="s">
        <v>1933</v>
      </c>
      <c r="V100" t="s">
        <v>1934</v>
      </c>
      <c r="W100" t="s">
        <v>1935</v>
      </c>
      <c r="X100" t="s">
        <v>1936</v>
      </c>
      <c r="Y100" t="s">
        <v>1937</v>
      </c>
      <c r="Z100" t="s">
        <v>1938</v>
      </c>
      <c r="AA100" t="s">
        <v>1939</v>
      </c>
      <c r="AB100" t="s">
        <v>1940</v>
      </c>
      <c r="AC100" t="s">
        <v>1941</v>
      </c>
      <c r="AD100" t="s">
        <v>1942</v>
      </c>
    </row>
    <row r="101" spans="1:30" ht="29" x14ac:dyDescent="0.35">
      <c r="B101" s="10">
        <v>1</v>
      </c>
      <c r="C101" s="10" t="s">
        <v>1465</v>
      </c>
      <c r="D101" s="10">
        <f>VLOOKUP(C101,'OL-JOC - DOI details-from-figsh'!C:H,6,FALSE)</f>
        <v>34</v>
      </c>
      <c r="E101" s="11" t="s">
        <v>1466</v>
      </c>
      <c r="F101" s="11" t="str">
        <f t="shared" si="2"/>
        <v/>
      </c>
      <c r="G101" s="11" t="str">
        <f t="shared" si="3"/>
        <v>3a;3b;3c;3d;3e;3f;3g;3h;3i;3j;3k;3l;5a';5a;5b';5b;5c';5c;5d;5e;5f;5g;5h;5i;5j;5k;5l;5m;5n;5o;5p;6;7;8</v>
      </c>
      <c r="H101" t="s">
        <v>1477</v>
      </c>
      <c r="I101" t="s">
        <v>1923</v>
      </c>
      <c r="J101" t="s">
        <v>1636</v>
      </c>
      <c r="K101" t="s">
        <v>1944</v>
      </c>
      <c r="L101" t="s">
        <v>1945</v>
      </c>
      <c r="M101" t="e" cm="1">
        <f t="array" ref="M101">-3-H.fi</f>
        <v>#NAME?</v>
      </c>
      <c r="N101" t="s">
        <v>1944</v>
      </c>
      <c r="O101" t="s">
        <v>1946</v>
      </c>
      <c r="P101">
        <v>-1</v>
      </c>
      <c r="Q101" t="s">
        <v>1947</v>
      </c>
      <c r="R101" t="s">
        <v>1948</v>
      </c>
      <c r="S101" t="s">
        <v>1699</v>
      </c>
      <c r="T101" t="s">
        <v>1949</v>
      </c>
      <c r="U101" t="s">
        <v>1950</v>
      </c>
      <c r="V101" t="s">
        <v>1951</v>
      </c>
      <c r="W101" t="s">
        <v>1952</v>
      </c>
      <c r="X101" t="s">
        <v>1953</v>
      </c>
      <c r="Y101" t="s">
        <v>1954</v>
      </c>
      <c r="Z101" t="s">
        <v>1955</v>
      </c>
      <c r="AA101" t="e" cm="1">
        <f t="array" ref="AA101">-H.f</f>
        <v>#NAME?</v>
      </c>
      <c r="AB101" t="s">
        <v>1699</v>
      </c>
      <c r="AC101" t="s">
        <v>1956</v>
      </c>
      <c r="AD101" t="s">
        <v>1957</v>
      </c>
    </row>
    <row r="102" spans="1:30" ht="29" x14ac:dyDescent="0.35">
      <c r="B102" s="10">
        <v>1</v>
      </c>
      <c r="C102" s="10" t="s">
        <v>1467</v>
      </c>
      <c r="D102" s="10">
        <f>VLOOKUP(C102,'OL-JOC - DOI details-from-figsh'!C:H,6,FALSE)</f>
        <v>25</v>
      </c>
      <c r="E102" s="11" t="s">
        <v>1468</v>
      </c>
      <c r="F102" s="11" t="str">
        <f t="shared" si="2"/>
        <v/>
      </c>
      <c r="G102" s="11" t="str">
        <f t="shared" si="3"/>
        <v>3a;3b;3c;3d;3e;3f;3g;3h;3i;3j;3k;3l;3m;3n;3o;3p;3q;3r;3s;3t;3u;3v;3w;4a;5a</v>
      </c>
      <c r="H102" t="s">
        <v>1478</v>
      </c>
      <c r="I102" t="s">
        <v>1943</v>
      </c>
      <c r="J102" t="s">
        <v>1959</v>
      </c>
      <c r="K102" t="s">
        <v>1960</v>
      </c>
      <c r="L102" t="s">
        <v>1961</v>
      </c>
      <c r="M102" t="s">
        <v>1962</v>
      </c>
      <c r="N102" t="s">
        <v>1679</v>
      </c>
      <c r="O102">
        <v>-3</v>
      </c>
      <c r="P102" t="s">
        <v>1963</v>
      </c>
      <c r="Q102" t="s">
        <v>1964</v>
      </c>
      <c r="R102" t="s">
        <v>1965</v>
      </c>
      <c r="S102" t="s">
        <v>1966</v>
      </c>
      <c r="T102" t="s">
        <v>1967</v>
      </c>
      <c r="U102" t="s">
        <v>1968</v>
      </c>
      <c r="V102" t="s">
        <v>1969</v>
      </c>
      <c r="W102" t="s">
        <v>1970</v>
      </c>
      <c r="X102" t="s">
        <v>1971</v>
      </c>
      <c r="Y102" t="s">
        <v>1972</v>
      </c>
      <c r="Z102" t="s">
        <v>1973</v>
      </c>
      <c r="AA102" t="s">
        <v>1974</v>
      </c>
      <c r="AB102" t="s">
        <v>1966</v>
      </c>
      <c r="AC102" t="s">
        <v>1975</v>
      </c>
      <c r="AD102" t="s">
        <v>1976</v>
      </c>
    </row>
    <row r="103" spans="1:30" ht="29" x14ac:dyDescent="0.35">
      <c r="B103" s="10">
        <v>1</v>
      </c>
      <c r="C103" s="10" t="s">
        <v>1469</v>
      </c>
      <c r="D103" s="10">
        <f>VLOOKUP(C103,'OL-JOC - DOI details-from-figsh'!C:H,6,FALSE)</f>
        <v>41</v>
      </c>
      <c r="E103" s="11" t="s">
        <v>1470</v>
      </c>
      <c r="F103" s="11" t="str">
        <f t="shared" si="2"/>
        <v/>
      </c>
      <c r="G103" s="11" t="str">
        <f t="shared" si="3"/>
        <v>1j;1x;1y;2ah;3a;3aa;3ab;3ac;3ad;3ae;3af;3ag;3ah;3b;3c;3d;3e;3f;3g;3h;3i;3j;3k;3l;3m;3n;3o;3p;3q;3r;3s;3t;3u;3v;3w;3x;3y;3z;4;5a;5b</v>
      </c>
      <c r="H103" t="s">
        <v>1479</v>
      </c>
      <c r="I103" t="s">
        <v>1958</v>
      </c>
    </row>
    <row r="104" spans="1:30" ht="116" x14ac:dyDescent="0.35">
      <c r="A104" s="15" t="s">
        <v>2306</v>
      </c>
      <c r="C104" s="10" t="s">
        <v>1471</v>
      </c>
      <c r="D104" s="10">
        <f>VLOOKUP(C104,'OL-JOC - DOI details-from-figsh'!C:H,6,FALSE)</f>
        <v>34</v>
      </c>
      <c r="E104" s="11" t="s">
        <v>1681</v>
      </c>
      <c r="F104" s="11" t="str">
        <f t="shared" si="2"/>
        <v>3;3_CARBON_01.fid;3_HSQCAD_01.fid;3_PROTON_01.fid;5a_CARBON_01.fid;5a_PROTON_01.fid;5b_CARBON_01.fid;5b_PROTON_01.fid;6a;6a_CARBON_01.fid;6b_PROTON_01.fid;Photoinitiation;Racemic Standard;Thermal Initiation;6b_CARBON_01.fid;7_CARBON_01.fid;7_FLUORINE_01.fid;7_PROTON_01.fid;8;8_CARBON_01.fid;8_FLUORINE_01.fid;8_PROTON_01.fid;D1;D1_CARBON_01.fid;D1_HSQCAD_01.fid;D1_PROTON_01.fid;D2;D2_CARBON_01.fid;D2_HSQCAD_01.fid;D2_PROT</v>
      </c>
      <c r="G104" s="11" t="str">
        <f t="shared" si="3"/>
        <v>3;3_CARBON_01.fid;3_HSQCAD_01.fid;3_PROTON_01.fid;5a_CARBON_01.fid;5a_PROTON_01.fid;5b_CARBON_01.fid;5b_PROTON_01.fid;6a;6a_CARBON_01.fid;6b_PROTON_01.fid;Photoinitiation;Racemic Standard;Thermal Initiation;6b_CARBON_01.fid;7_CARBON_01.fid;7_FLUORINE_01.fid;7_PROTON_01.fid;8;8_CARBON_01.fid;8_FLUORINE_01.fid;8_PROTON_01.fid;D1;D1_CARBON_01.fid;D1_HSQCAD_01.fid;D1_PROTON_01.fid;D2;D2_CARBON_01.fid;D2_HSQCAD_01.fid;D2_PROT</v>
      </c>
      <c r="H104" t="s">
        <v>1480</v>
      </c>
      <c r="I104" t="s">
        <v>1977</v>
      </c>
    </row>
    <row r="105" spans="1:30" ht="29" x14ac:dyDescent="0.35">
      <c r="B105" s="10">
        <v>1</v>
      </c>
      <c r="C105" s="10" t="s">
        <v>1472</v>
      </c>
      <c r="D105" s="10">
        <f>VLOOKUP(C105,'OL-JOC - DOI details-from-figsh'!C:H,6,FALSE)</f>
        <v>34</v>
      </c>
      <c r="E105" s="11" t="s">
        <v>1473</v>
      </c>
      <c r="F105" s="11" t="str">
        <f t="shared" si="2"/>
        <v/>
      </c>
      <c r="G105" s="11" t="str">
        <f t="shared" si="3"/>
        <v>3a;3b;3c;3d;3e;3f;3g;3h;3i;3j;3k;3l;3m;3n;3o;3p;3q;3r;3s;3t;3u;3ba;3ca;3da;3ea;3fa;3ga;3ha;3ia;3ja;3ka;3la;3ma;5</v>
      </c>
      <c r="H105" t="s">
        <v>1481</v>
      </c>
      <c r="I105" t="s">
        <v>1482</v>
      </c>
    </row>
    <row r="106" spans="1:30" ht="72.5" x14ac:dyDescent="0.35">
      <c r="B106" s="10">
        <v>1</v>
      </c>
      <c r="C106" s="10" t="s">
        <v>1474</v>
      </c>
      <c r="D106" s="10">
        <f>VLOOKUP(C106,'OL-JOC - DOI details-from-figsh'!C:H,6,FALSE)</f>
        <v>63</v>
      </c>
      <c r="E106" s="11" t="s">
        <v>1684</v>
      </c>
      <c r="F106" s="11" t="str">
        <f t="shared" si="2"/>
        <v/>
      </c>
      <c r="G106" s="11" t="str">
        <f t="shared" si="3"/>
        <v>12-SAR-807;3a;3aa;3aaa;3aab;3aac;3aad;3aae;3aaf;3aag;3aah;3ab;3ac;3ad;3ae;3af;3ag;3ah;3ai;3aj;3ak;3al;3am;3an;3ao;3ap;3aq;3ar;3as;3at;3au;3av;3aw;3ax;3ay;3az;3b;3c;3d;3e;3f;3g;3h;3i;3j;3k;3l;3m;3n;3o r;3p;3q;3r r;3s r;3t r;3u r;3v;3w;3x;3y;3z;SDD-1302;SDD-1602</v>
      </c>
      <c r="H106" t="s">
        <v>1483</v>
      </c>
      <c r="I106" t="s">
        <v>1978</v>
      </c>
    </row>
    <row r="107" spans="1:30" ht="43.5" x14ac:dyDescent="0.35">
      <c r="B107" s="10">
        <v>1</v>
      </c>
      <c r="C107" s="10" t="s">
        <v>1475</v>
      </c>
      <c r="D107" s="10">
        <f>VLOOKUP(C107,'OL-JOC - DOI details-from-figsh'!C:H,6,FALSE)</f>
        <v>50</v>
      </c>
      <c r="E107" s="11" t="s">
        <v>1476</v>
      </c>
      <c r="F107" s="11" t="str">
        <f t="shared" si="2"/>
        <v/>
      </c>
      <c r="G107" s="11" t="str">
        <f t="shared" si="3"/>
        <v>3a;3aa;3ab;3ac;3ad;3ae;3af;3ag;3ah;3ai;3b;3c;3d;3e;3f;3g;3h;3j;3k;3l;3m;3n;3o;3p;3q;3r;3s;3t;3u;3v;3w;3x;3y;3z;5a;5b;5c;5d;5e;5f;5g;5h;5i;5j;5k;5l;6a;6b;7;9</v>
      </c>
      <c r="H107" t="s">
        <v>1484</v>
      </c>
      <c r="I107" t="s">
        <v>1485</v>
      </c>
    </row>
    <row r="108" spans="1:30" ht="101.5" x14ac:dyDescent="0.35">
      <c r="A108" s="11" t="s">
        <v>2266</v>
      </c>
      <c r="C108" s="10" t="s">
        <v>1477</v>
      </c>
      <c r="D108" s="10">
        <f>VLOOKUP(C108,'OL-JOC - DOI details-from-figsh'!C:H,6,FALSE)</f>
        <v>131</v>
      </c>
      <c r="E108" s="11" t="s">
        <v>1685</v>
      </c>
      <c r="F108" s="11" t="str">
        <f t="shared" si="2"/>
        <v>1a-13C;1a-1H;1b-13C;1b-1H;1c-13C;1c-1H;1d-13C;1d-1H;1e-13C;1e-1H;1f-13C;1f-1H;1g-13C;1g-1H;1h-13C;1h-1H;1i-13C;1i-1H;1j-13C;1j-1H;1k-13C;1k-1H;1l-13C;1l-1H;1m-13C;1m-1H;1n-13C;1n-1H;1o-13C;1o-1H;1p-13C;1p-1H;1q-13C;1q-1H;1r-13C;1r-1H;1s-13C;1s-1H;1t-13C;1t-1H;1v-13C;1v-1H;1w-13C;1w-1H;E-3a-13C;E-3a-1H;E-3b-13C;E-3b-1H;E-3c-13C;E-3c-1H;E-3d-13C;E-3d-1H;E-3e-13C;E-3e-1H;E-3f-13C;E-3f-1H;E-3g-13C;E-3g-1H;E-3h-13C;E-3h-1H;E-</v>
      </c>
      <c r="G108" s="11" t="str">
        <f t="shared" si="3"/>
        <v>1a-13C;1a-1H;1b-13C;1b-1H;1c-13C;1c-1H;1d-13C;1d-1H;1e-13C;1e-1H;1f-13C;1f-1H;1g-13C;1g-1H;1h-13C;1h-1H;1i-13C;1i-1H;1j-13C;1j-1H;1k-13C;1k-1H;1l-13C;1l-1H;1m-13C;1m-1H;1n-13C;1n-1H;1o-13C;1o-1H;1p-13C;1p-1H;1q-13C;1q-1H;1r-13C;1r-1H;1s-13C;1s-1H;1t-13C;1t-1H;1v-13C;1v-1H;1w-13C;1w-1H;E-3a-13C;E-3a-1H;E-3b-13C;E-3b-1H;E-3c-13C;E-3c-1H;E-3d-13C;E-3d-1H;E-3e-13C;E-3e-1H;E-3f-13C;E-3f-1H;E-3g-13C;E-3g-1H;E-3h-13C;E-3h-1H;E-</v>
      </c>
      <c r="H108" t="s">
        <v>1486</v>
      </c>
      <c r="I108" t="s">
        <v>1979</v>
      </c>
    </row>
    <row r="109" spans="1:30" ht="101.5" x14ac:dyDescent="0.35">
      <c r="A109" s="11" t="s">
        <v>2258</v>
      </c>
      <c r="C109" s="10" t="s">
        <v>1478</v>
      </c>
      <c r="D109" s="10">
        <f>VLOOKUP(C109,'OL-JOC - DOI details-from-figsh'!C:H,6,FALSE)</f>
        <v>97</v>
      </c>
      <c r="E109" s="11" t="s">
        <v>1686</v>
      </c>
      <c r="F109" s="11" t="str">
        <f t="shared" si="2"/>
        <v>1d-C-cjz-01-03-C-20221.fid;1d-H-cjz-01-03-H-250221.fid;1e-C-lgx-13-10-3-C-250221.fid;1e-H-lgx-13-10-3-H-250221.fid;3a;lgx-12-muchan-H.fid;lgx-12-42-1-C.fid;lgx-12-42-1-F.fid;lgx-12-42-1-H.fid;lgx-12-42-2-C.fid;lgx-12-42-2-H.fid;lgx-12-42-3-C.fid;lgx-12-42-3-H.fid;lgx-12-42-4-C.fid;lgx-12-42-4-H.fid;lgx-12-42-5-C.fid;lgx-12-42-5-H.fid;lgx-12-43-1-C.fid;lgx-13-22-1-H.fid;3h;lgx-12-44-5-F.fid;lgx-12-44-5-H.fid;lgx-12-44-3-C</v>
      </c>
      <c r="G109" s="11" t="str">
        <f t="shared" si="3"/>
        <v>1d-C-cjz-01-03-C-20221.fid;1d-H-cjz-01-03-H-250221.fid;1e-C-lgx-13-10-3-C-250221.fid;1e-H-lgx-13-10-3-H-250221.fid;3a;lgx-12-muchan-H.fid;lgx-12-42-1-C.fid;lgx-12-42-1-F.fid;lgx-12-42-1-H.fid;lgx-12-42-2-C.fid;lgx-12-42-2-H.fid;lgx-12-42-3-C.fid;lgx-12-42-3-H.fid;lgx-12-42-4-C.fid;lgx-12-42-4-H.fid;lgx-12-42-5-C.fid;lgx-12-42-5-H.fid;lgx-12-43-1-C.fid;lgx-13-22-1-H.fid;3h;lgx-12-44-5-F.fid;lgx-12-44-5-H.fid;lgx-12-44-3-C</v>
      </c>
      <c r="H109" t="s">
        <v>1980</v>
      </c>
      <c r="I109" t="s">
        <v>1981</v>
      </c>
      <c r="J109" s="8"/>
    </row>
    <row r="110" spans="1:30" ht="116" x14ac:dyDescent="0.35">
      <c r="A110" s="11" t="s">
        <v>2238</v>
      </c>
      <c r="B110" s="10">
        <v>1</v>
      </c>
      <c r="C110" s="10" t="s">
        <v>1479</v>
      </c>
      <c r="D110" s="10">
        <f>VLOOKUP(C110,'OL-JOC - DOI details-from-figsh'!C:H,6,FALSE)</f>
        <v>324</v>
      </c>
      <c r="E110" s="11" t="s">
        <v>1687</v>
      </c>
      <c r="F110" s="11" t="str">
        <f t="shared" si="2"/>
        <v>2a;2b;2c;2d;2e;2f;2g;2h;2i;2j;2k;2l;2m;2n;2o;2p;2q;2r;2s;2t;2u;2v;2w;2x;2y;2z;3aa;3ab;3ac;3ad;3ae;3af;3ag;3ah;3ba;3ca;3da;3ga;5;6;Rel-(1R,4R,7S)-7;Rel-(1S,4R,7R)-7;cis- 3al;cis-3ai;cis-3aj;cis-3ak;cis-3am;cis-3an;cis-3ao;cis-3ap;cis-3aq;cis-3ar;cis-3at;cis-3au;cis-3av;cis-3ax;cis-3ea;cis-3fa;trans-3ai;trans-3aj;trans-3ak;trans-3al;trans-3am;trans-3an;trans-3ao;trans-3ap;trans-3aq;trans-3ar;trans-3as;trans-3au;trans-3av;t</v>
      </c>
      <c r="G110" s="11" t="str">
        <f t="shared" si="3"/>
        <v>2a;2b;2c;2d;2e;2f;2g;2h;2i;2j;2k;2l;2m;2n;2o;2p;2q;2r;2s;2t;2u;2v;2w;2x;2y;2z;3aa;3ab;3ac;3ad;3ae;3af;3ag;3ah;3ba;3ca;3da;3ga;5;6;Rel-(1R,4R,7S)-7;Rel-(1S,4R,7R)-7;cis- 3al;cis-3ai;cis-3aj;cis-3ak;cis-3am;cis-3an;cis-3ao;cis-3ap;cis-3aq;cis-3ar;cis-3at;cis-3au;cis-3av;cis-3ax;cis-3ea;cis-3fa;trans-3ai;trans-3aj;trans-3ak;trans-3al;trans-3am;trans-3an;trans-3ao;trans-3ap;trans-3aq;trans-3ar;trans-3as;trans-3au;trans-3av;t</v>
      </c>
      <c r="H110" t="s">
        <v>1488</v>
      </c>
      <c r="I110" t="s">
        <v>1489</v>
      </c>
    </row>
    <row r="111" spans="1:30" ht="29" x14ac:dyDescent="0.35">
      <c r="A111" s="11" t="s">
        <v>2268</v>
      </c>
      <c r="C111" s="10" t="s">
        <v>1480</v>
      </c>
      <c r="D111" s="10">
        <f>VLOOKUP(C111,'OL-JOC - DOI details-from-figsh'!C:H,6,FALSE)</f>
        <v>5</v>
      </c>
      <c r="E111" s="11" t="s">
        <v>1689</v>
      </c>
      <c r="F111" s="11" t="str">
        <f t="shared" si="2"/>
        <v>NMR FID files 3aa-3ca; NMR FID files 3cb-3fa; NMR FID files 3ga-3ha; NMR FID files 3hb-3ja; NMR FID files 3ka-3la</v>
      </c>
      <c r="G111" s="11" t="str">
        <f t="shared" si="3"/>
        <v>NMR FID files 3aa-3ca; NMR FID files 3cb-3fa; NMR FID files 3ga-3ha; NMR FID files 3hb-3ja; NMR FID files 3ka-3la</v>
      </c>
      <c r="H111" t="s">
        <v>1490</v>
      </c>
      <c r="I111" t="s">
        <v>1982</v>
      </c>
      <c r="J111" t="s">
        <v>1984</v>
      </c>
      <c r="K111" t="s">
        <v>1985</v>
      </c>
      <c r="L111" t="e" cm="1">
        <f t="array" ref="L111">H, PG=T</f>
        <v>#NAME?</v>
      </c>
      <c r="M111" t="s">
        <v>1986</v>
      </c>
      <c r="N111" t="s">
        <v>1987</v>
      </c>
      <c r="O111" t="e" cm="1">
        <f t="array" ref="O111">P</f>
        <v>#NAME?</v>
      </c>
      <c r="P111" t="s">
        <v>1988</v>
      </c>
      <c r="Q111" t="s">
        <v>1989</v>
      </c>
      <c r="R111" t="s">
        <v>1990</v>
      </c>
      <c r="S111" t="s">
        <v>1694</v>
      </c>
      <c r="T111" t="s">
        <v>1991</v>
      </c>
      <c r="U111" t="s">
        <v>1992</v>
      </c>
      <c r="V111" t="s">
        <v>1993</v>
      </c>
      <c r="W111" t="s">
        <v>1994</v>
      </c>
      <c r="X111" t="s">
        <v>1995</v>
      </c>
      <c r="Y111" t="s">
        <v>1493</v>
      </c>
      <c r="Z111" t="s">
        <v>1996</v>
      </c>
      <c r="AA111" t="s">
        <v>1997</v>
      </c>
      <c r="AB111" t="s">
        <v>1998</v>
      </c>
      <c r="AC111" t="s">
        <v>1999</v>
      </c>
      <c r="AD111" t="s">
        <v>2000</v>
      </c>
    </row>
    <row r="112" spans="1:30" ht="43.5" x14ac:dyDescent="0.35">
      <c r="B112" s="10">
        <v>1</v>
      </c>
      <c r="C112" s="10" t="s">
        <v>1481</v>
      </c>
      <c r="D112" s="10">
        <f>VLOOKUP(C112,'OL-JOC - DOI details-from-figsh'!C:H,6,FALSE)</f>
        <v>45</v>
      </c>
      <c r="E112" s="11" t="s">
        <v>1482</v>
      </c>
      <c r="F112" s="11" t="str">
        <f t="shared" si="2"/>
        <v/>
      </c>
      <c r="G112" s="11" t="str">
        <f t="shared" si="3"/>
        <v>1a;1b;1c;1d;1e;1f;1g;1h;1i;1j;1k;3ba;3bb;3bc;3bd;3be;3bf;3bg;3bh;3bi;3bj;3bk;3bl;3bm;3bn;3bo;3bp;3bq;3br;3bs;3bt;3ca;3da;3ea;3eb;3fa;3ga;3ha;3ia;3ja;3ka;4;5;6;PF-4455242</v>
      </c>
      <c r="H112" t="s">
        <v>1492</v>
      </c>
      <c r="I112" t="s">
        <v>1983</v>
      </c>
    </row>
    <row r="113" spans="1:9" ht="29" x14ac:dyDescent="0.35">
      <c r="B113" s="10">
        <v>1</v>
      </c>
      <c r="C113" s="10" t="s">
        <v>1483</v>
      </c>
      <c r="D113" s="10">
        <f>VLOOKUP(C113,'OL-JOC - DOI details-from-figsh'!C:H,6,FALSE)</f>
        <v>9</v>
      </c>
      <c r="E113" s="11" t="s">
        <v>1690</v>
      </c>
      <c r="F113" s="11" t="str">
        <f t="shared" si="2"/>
        <v>1; 2; 3; 4; 5; 6; 7; 8; 9</v>
      </c>
      <c r="G113" s="11" t="str">
        <f t="shared" si="3"/>
        <v>1; 2; 3; 4; 5; 6; 7; 8; 9</v>
      </c>
      <c r="H113" t="s">
        <v>1494</v>
      </c>
      <c r="I113" t="s">
        <v>1495</v>
      </c>
    </row>
    <row r="114" spans="1:9" x14ac:dyDescent="0.35">
      <c r="B114" s="10">
        <v>1</v>
      </c>
      <c r="C114" s="10" t="s">
        <v>1484</v>
      </c>
      <c r="D114" s="10">
        <f>VLOOKUP(C114,'OL-JOC - DOI details-from-figsh'!C:H,6,FALSE)</f>
        <v>63</v>
      </c>
      <c r="E114" s="11" t="s">
        <v>1485</v>
      </c>
      <c r="F114" s="11" t="str">
        <f t="shared" si="2"/>
        <v/>
      </c>
      <c r="G114" s="11" t="str">
        <f t="shared" si="3"/>
        <v>3a;3b;3c;3d;3e;3f;3g;3h;3i;3j;3k;3l;3m;3n;3o;4a;4g;4i;4f</v>
      </c>
      <c r="H114" t="s">
        <v>1496</v>
      </c>
      <c r="I114" t="s">
        <v>1695</v>
      </c>
    </row>
    <row r="115" spans="1:9" ht="116" x14ac:dyDescent="0.35">
      <c r="A115" s="11" t="s">
        <v>2269</v>
      </c>
      <c r="C115" s="10" t="s">
        <v>1486</v>
      </c>
      <c r="D115" s="10">
        <f>VLOOKUP(C115,'OL-JOC - DOI details-from-figsh'!C:H,6,FALSE)</f>
        <v>18</v>
      </c>
      <c r="E115" s="11" t="s">
        <v>1691</v>
      </c>
      <c r="F115" s="11" t="str">
        <f t="shared" si="2"/>
        <v>13C  4,7-Dibromobenzo[1,2,3]thiadiazole (2Br);13C  4,7-Diiodobenzo[1,2,3]thiadiazole (2);13C  4,7-Diiodobenzo[2,1,3]thiadiazole (5I);CARBON_01.fid;13C  Qbtd;13C  Qibtd;13C  Qibtd2;13C  Qibtd3;13C  Qibtd4;13C  Qibtd5;1H  4,7-Dibromobenzo[1,2,3]thiadiazole (2Br);1H  4,7-Diiodobenzo[1,2,3]thiadiazole (2);PROTON_01.fid;1H  4,7-Diiodobenzo[2,1,3]thiadiazole (5I);1H  Qbtd;1H  Qibtd;1H  Qibtd2;1H  Qibtd3;1H  Qibtd4;1H  Qibtd5</v>
      </c>
      <c r="G115" s="11" t="str">
        <f t="shared" si="3"/>
        <v>13C  4,7-Dibromobenzo[1,2,3]thiadiazole (2Br);13C  4,7-Diiodobenzo[1,2,3]thiadiazole (2);13C  4,7-Diiodobenzo[2,1,3]thiadiazole (5I);CARBON_01.fid;13C  Qbtd;13C  Qibtd;13C  Qibtd2;13C  Qibtd3;13C  Qibtd4;13C  Qibtd5;1H  4,7-Dibromobenzo[1,2,3]thiadiazole (2Br);1H  4,7-Diiodobenzo[1,2,3]thiadiazole (2);PROTON_01.fid;1H  4,7-Diiodobenzo[2,1,3]thiadiazole (5I);1H  Qbtd;1H  Qibtd;1H  Qibtd2;1H  Qibtd3;1H  Qibtd4;1H  Qibtd5</v>
      </c>
      <c r="H115" t="s">
        <v>1497</v>
      </c>
      <c r="I115" t="s">
        <v>1498</v>
      </c>
    </row>
    <row r="116" spans="1:9" ht="101.5" x14ac:dyDescent="0.35">
      <c r="A116" s="11" t="s">
        <v>2270</v>
      </c>
      <c r="B116" s="10" t="s">
        <v>1095</v>
      </c>
      <c r="C116" s="10" t="s">
        <v>1487</v>
      </c>
      <c r="D116" s="10" t="e">
        <f>VLOOKUP(C116,'OL-JOC - DOI details-from-figsh'!C:H,6,FALSE)</f>
        <v>#N/A</v>
      </c>
      <c r="E116" s="11" t="s">
        <v>1692</v>
      </c>
      <c r="F116" s="11" t="e">
        <f t="shared" si="2"/>
        <v>#N/A</v>
      </c>
      <c r="G116" s="11" t="e">
        <f t="shared" si="3"/>
        <v>#N/A</v>
      </c>
      <c r="H116" t="s">
        <v>1499</v>
      </c>
      <c r="I116" t="s">
        <v>1500</v>
      </c>
    </row>
    <row r="117" spans="1:9" ht="101.5" x14ac:dyDescent="0.35">
      <c r="A117" s="11" t="s">
        <v>2258</v>
      </c>
      <c r="C117" s="10" t="s">
        <v>1488</v>
      </c>
      <c r="D117" s="10">
        <f>VLOOKUP(C117,'OL-JOC - DOI details-from-figsh'!C:H,6,FALSE)</f>
        <v>2</v>
      </c>
      <c r="E117" s="11" t="s">
        <v>1489</v>
      </c>
      <c r="F117" s="11" t="str">
        <f t="shared" si="2"/>
        <v/>
      </c>
      <c r="G117" s="11" t="str">
        <f t="shared" si="3"/>
        <v>14a_13C;14a_1H;15a_13C;15a_1H;16a_13C;16a_1H;16b_13C;16b_1H;17a_13C;17a_1H;17b_13C;17b_1H;18a_13C;18a_1H;18b_13C;18b_1H;19a_13C;19a_1H;19b_13C;19b_1H;1a_13C;1a_1H;1b_13C;1b_1H;20a_13C;20a_1H;20b_13C;20b_1H;21a_13C;21a_1H;21b_13C;21b_1H;22a_13C;22a_1H;22b_13C;22b_1H;23a_13C;23a_1H;23b_13C;23b_1H;24a_13C;24a_1H;24b_13C;24b_1H;2a_13C;2a_1H;2b_13C;2b_1H;4a_13C;4a_1H;4b_13C;4b_1H</v>
      </c>
      <c r="H117" t="s">
        <v>1501</v>
      </c>
      <c r="I117" t="s">
        <v>1502</v>
      </c>
    </row>
    <row r="118" spans="1:9" ht="29" x14ac:dyDescent="0.35">
      <c r="A118" s="11" t="s">
        <v>2265</v>
      </c>
      <c r="B118" s="10">
        <v>1</v>
      </c>
      <c r="C118" s="10" t="s">
        <v>1490</v>
      </c>
      <c r="D118" s="10">
        <f>VLOOKUP(C118,'OL-JOC - DOI details-from-figsh'!C:H,6,FALSE)</f>
        <v>39</v>
      </c>
      <c r="E118" s="11" t="s">
        <v>1491</v>
      </c>
      <c r="F118" s="11" t="str">
        <f t="shared" si="2"/>
        <v>aa;ab;ac;ad;ae;af;ag;ah;ai;aj;ak;al;am;an;ao;ap;aq;ar;as;ba;ca;da;dt;ea;fa;ga;ha;ia;ja;ka;la;ma;na;oa;pa;qa;qt;ra;sa</v>
      </c>
      <c r="G118" s="11" t="str">
        <f t="shared" si="3"/>
        <v>aa;ab;ac;ad;ae;af;ag;ah;ai;aj;ak;al;am;an;ao;ap;aq;ar;as;ba;ca;da;dt;ea;fa;ga;ha;ia;ja;ka;la;ma;na;oa;pa;qa;qt;ra;sa</v>
      </c>
      <c r="H118" t="s">
        <v>1503</v>
      </c>
      <c r="I118" t="s">
        <v>1504</v>
      </c>
    </row>
    <row r="119" spans="1:9" ht="101.5" x14ac:dyDescent="0.35">
      <c r="B119" s="10">
        <v>1</v>
      </c>
      <c r="C119" s="10" t="s">
        <v>1492</v>
      </c>
      <c r="D119" s="10">
        <f>VLOOKUP(C119,'OL-JOC - DOI details-from-figsh'!C:H,6,FALSE)</f>
        <v>33</v>
      </c>
      <c r="E119" s="11" t="s">
        <v>1693</v>
      </c>
      <c r="F119" s="11" t="str">
        <f t="shared" si="2"/>
        <v>3a (R1=Ph, R2=cinnamyl, R3=H, PG=TBS);3b (R1=H, R2=cinnamyl, R3=H, PG=TBS);3c (R1=Ph, R2=cinnamyl, R3=H, PG=TMS);3d (R1=Ph, R2=cinnamyl, R3=H, PG=TBPS);3e (R1=Ph, R2=cinnamyl, R3=H, PG=Bz);3f (R1=Ph, R2=cinnamyl, R3=H, PG=cinnamyl);3g (R1=Ph, R2=naphacrylate, R3=H, PG=TBS);3h (R1=Ph, R2=pMe-cinnamyl, R3=H, PG=TBS);3j (R1=Ph, R2=pCF3-cinnamyl, R3=H, PG=TBS);3l (R1=Ph, R2=pF-cinnamyl, R3=H, PG=TBS);3m (R1=Ph, R2=pCl-cinnam</v>
      </c>
      <c r="G119" s="11" t="str">
        <f t="shared" si="3"/>
        <v>3a (R1=Ph, R2=cinnamyl, R3=H, PG=TBS);3b (R1=H, R2=cinnamyl, R3=H, PG=TBS);3c (R1=Ph, R2=cinnamyl, R3=H, PG=TMS);3d (R1=Ph, R2=cinnamyl, R3=H, PG=TBPS);3e (R1=Ph, R2=cinnamyl, R3=H, PG=Bz);3f (R1=Ph, R2=cinnamyl, R3=H, PG=cinnamyl);3g (R1=Ph, R2=naphacrylate, R3=H, PG=TBS);3h (R1=Ph, R2=pMe-cinnamyl, R3=H, PG=TBS);3j (R1=Ph, R2=pCF3-cinnamyl, R3=H, PG=TBS);3l (R1=Ph, R2=pF-cinnamyl, R3=H, PG=TBS);3m (R1=Ph, R2=pCl-cinnam</v>
      </c>
      <c r="H119" t="s">
        <v>1505</v>
      </c>
      <c r="I119" t="s">
        <v>2001</v>
      </c>
    </row>
    <row r="120" spans="1:9" ht="101.5" x14ac:dyDescent="0.35">
      <c r="B120" s="10">
        <v>1</v>
      </c>
      <c r="C120" s="10" t="s">
        <v>1494</v>
      </c>
      <c r="D120" s="10">
        <f>VLOOKUP(C120,'OL-JOC - DOI details-from-figsh'!C:H,6,FALSE)</f>
        <v>86</v>
      </c>
      <c r="E120" s="11" t="s">
        <v>1495</v>
      </c>
      <c r="F120" s="11" t="str">
        <f t="shared" si="2"/>
        <v/>
      </c>
      <c r="G120" s="11" t="str">
        <f t="shared" si="3"/>
        <v>(Ra,R)-2t;(Sa,R)-2t;1a;1b;1c;1d;1e;1f;1g;1h;1i;1j;1k;1l;1m;1n;1o;1p;1q;1r;1s;1t;1u;2a;2b;2c;2d;2e;2f;2g;2h;2i;2j;2k;2l;2m;2n;2o;2p;2q;2r;2s;2u;3a;3b;3c;3d-meta;3d-ortho;3d-para;3e-meta;3e-ortho;3e-para;3f-meta;3f-ortho;3f-para;3g-meta;3g-ortho;3g-para;3h;3i;3j;3k;3l;3m;4a;4b;4c;4d-meta;4d-para;4e-meta;4e-para;4f-meta;4f-para;4g-meta;4g-para;4h;4i;4j;4l;7r;7s;7t;7u;8p;8r;8s;8t;8u</v>
      </c>
      <c r="H120" t="s">
        <v>1507</v>
      </c>
      <c r="I120" t="s">
        <v>1508</v>
      </c>
    </row>
    <row r="121" spans="1:9" ht="72.5" x14ac:dyDescent="0.35">
      <c r="A121" s="11" t="s">
        <v>2271</v>
      </c>
      <c r="C121" s="10" t="s">
        <v>1496</v>
      </c>
      <c r="D121" s="10">
        <f>VLOOKUP(C121,'OL-JOC - DOI details-from-figsh'!C:H,6,FALSE)</f>
        <v>78</v>
      </c>
      <c r="E121" s="11" t="s">
        <v>1695</v>
      </c>
      <c r="F121" s="11" t="str">
        <f t="shared" si="2"/>
        <v/>
      </c>
      <c r="G121" s="11" t="str">
        <f t="shared" si="3"/>
        <v>FID for Publication-Materials;2ah;4a;4b;4c;4d;4e;4f;4g;4h;4i;4j;4k;4l;4m;4n;4o;4p;4q;4aa;4ab;4ac;4ad;4ae;4af;4ag;4ah;FID for Publication-Products 4aa-ak;4aj;4ak;5a;5b;5c;5d;5e;5f;5g;5h;5i;5j;5k;5l;5m;5n;5o;5p;5q;5r;5s;5aa;5ab;5ac;5ad;5ae;5af;5ag;5ah;5ai;5aj;10;12;13;6;8;9</v>
      </c>
      <c r="H121" t="s">
        <v>1509</v>
      </c>
      <c r="I121" t="s">
        <v>1510</v>
      </c>
    </row>
    <row r="122" spans="1:9" ht="29" x14ac:dyDescent="0.35">
      <c r="B122" s="10">
        <v>1</v>
      </c>
      <c r="C122" s="10" t="s">
        <v>1497</v>
      </c>
      <c r="D122" s="10">
        <f>VLOOKUP(C122,'OL-JOC - DOI details-from-figsh'!C:H,6,FALSE)</f>
        <v>45</v>
      </c>
      <c r="E122" s="11" t="s">
        <v>1498</v>
      </c>
      <c r="F122" s="11" t="str">
        <f t="shared" si="2"/>
        <v/>
      </c>
      <c r="G122" s="11" t="str">
        <f t="shared" si="3"/>
        <v>3a;3aa;3ab;3ac;3ad;3ae;3b;3c;3d;3e;3f;3g;3h;3i;3j;3k;3l;3m;3n;3o;3p;3q;3r;3s;3t;3u;3v;3w;3x;3y;3z;5a;5b;5c;5d;5e;5f;5g;5h;5i;5j;5k;5l;6;7</v>
      </c>
      <c r="H122" t="s">
        <v>1511</v>
      </c>
      <c r="I122" t="s">
        <v>1696</v>
      </c>
    </row>
    <row r="123" spans="1:9" ht="43.5" x14ac:dyDescent="0.35">
      <c r="A123" s="11" t="s">
        <v>2292</v>
      </c>
      <c r="B123" s="10">
        <v>0</v>
      </c>
      <c r="C123" s="10" t="s">
        <v>1499</v>
      </c>
      <c r="D123" s="10" t="e">
        <f>VLOOKUP(C123,'OL-JOC - DOI details-from-figsh'!C:H,6,FALSE)</f>
        <v>#N/A</v>
      </c>
      <c r="E123" s="11" t="s">
        <v>1500</v>
      </c>
      <c r="F123" s="11" t="str">
        <f t="shared" si="2"/>
        <v/>
      </c>
      <c r="G123" s="11" t="str">
        <f t="shared" si="3"/>
        <v>3aa;3aaa;3ba;3bba;3ca;3cb;3cc;3cca;3cd;3ce;3cf;3cg;3ch;3ci;3da;3ea;3fa;3ga;3ha;3ia;3ja;3ka;3la;3ma;3na;3oa;3pa;3qa;3ra;3ta;3ua;3va;3wa;3ya;3za</v>
      </c>
      <c r="H123" t="s">
        <v>1512</v>
      </c>
      <c r="I123" t="s">
        <v>1513</v>
      </c>
    </row>
    <row r="124" spans="1:9" ht="116" x14ac:dyDescent="0.35">
      <c r="A124" s="11" t="s">
        <v>2295</v>
      </c>
      <c r="B124" s="10">
        <v>1</v>
      </c>
      <c r="C124" s="10" t="s">
        <v>1501</v>
      </c>
      <c r="D124" s="10" t="e">
        <f>VLOOKUP(C124,'OL-JOC - DOI details-from-figsh'!C:H,6,FALSE)</f>
        <v>#N/A</v>
      </c>
      <c r="E124" s="11" t="s">
        <v>1502</v>
      </c>
      <c r="F124" s="11" t="str">
        <f t="shared" si="2"/>
        <v/>
      </c>
      <c r="G124" s="11" t="str">
        <f t="shared" si="3"/>
        <v>3a;3aa;3ab;3ac;3ad;3ae;3af;3ag;3b;3c;3d;3e;3f;3g;3h;3i;3j;3k;3l;3m;3n;3o;3p;3q;3r;3s;3t;3u;3v;3w;3x;3y;3z;5a;5b;5c;5d;5e;5f;5g;5h;5i;5k;5l;5m;5n;5o;5p;5q;5r;5s;5t;5u;5v;5w;5x;5y;7;8</v>
      </c>
      <c r="H124" t="s">
        <v>1514</v>
      </c>
      <c r="I124" t="s">
        <v>2002</v>
      </c>
    </row>
    <row r="125" spans="1:9" ht="29" x14ac:dyDescent="0.35">
      <c r="B125" s="10">
        <v>1</v>
      </c>
      <c r="C125" s="10" t="s">
        <v>1503</v>
      </c>
      <c r="D125" s="10">
        <f>VLOOKUP(C125,'OL-JOC - DOI details-from-figsh'!C:H,6,FALSE)</f>
        <v>41</v>
      </c>
      <c r="E125" s="11" t="s">
        <v>1504</v>
      </c>
      <c r="F125" s="11" t="str">
        <f t="shared" si="2"/>
        <v/>
      </c>
      <c r="G125" s="11" t="str">
        <f t="shared" si="3"/>
        <v>3a;3b;3c;3d;3e;3f;3g;3h;3i;3j;3k;3l;3m;3n;3o;3p;3q;4a;4b;4c;4d;4e;4f;4g;4h;4i;4j;4k;4l;4m;4n;4o;4p;4q;5a;5b;5c;5d;6;7;8</v>
      </c>
      <c r="H125" t="s">
        <v>1516</v>
      </c>
      <c r="I125" t="s">
        <v>2003</v>
      </c>
    </row>
    <row r="126" spans="1:9" ht="87" x14ac:dyDescent="0.35">
      <c r="A126" s="11" t="s">
        <v>2238</v>
      </c>
      <c r="B126" s="10">
        <v>1</v>
      </c>
      <c r="C126" s="10" t="s">
        <v>1505</v>
      </c>
      <c r="D126" s="10">
        <f>VLOOKUP(C126,'OL-JOC - DOI details-from-figsh'!C:H,6,FALSE)</f>
        <v>41</v>
      </c>
      <c r="E126" s="11" t="s">
        <v>1506</v>
      </c>
      <c r="F126" s="11" t="str">
        <f t="shared" si="2"/>
        <v>3a-5;3a-6;3a;3aa;3b;3ba;3c;3ca;3d;3da;3e;3f;3g;3h;3i;3j;3k;3l;3m;3n;3o;3p;3q;3r;3s;3t;3u;3v;3w;3x;3y;3z;4a;4b;4c;4d;4e;4f;5a;6a;7a</v>
      </c>
      <c r="G126" s="11" t="str">
        <f t="shared" si="3"/>
        <v>3a-5;3a-6;3a;3aa;3b;3ba;3c;3ca;3d;3da;3e;3f;3g;3h;3i;3j;3k;3l;3m;3n;3o;3p;3q;3r;3s;3t;3u;3v;3w;3x;3y;3z;4a;4b;4c;4d;4e;4f;5a;6a;7a</v>
      </c>
      <c r="H126" t="s">
        <v>1518</v>
      </c>
      <c r="I126" t="s">
        <v>2004</v>
      </c>
    </row>
    <row r="127" spans="1:9" ht="43.5" x14ac:dyDescent="0.35">
      <c r="B127" s="10">
        <v>1</v>
      </c>
      <c r="C127" s="10" t="s">
        <v>1507</v>
      </c>
      <c r="D127" s="10">
        <f>VLOOKUP(C127,'OL-JOC - DOI details-from-figsh'!C:H,6,FALSE)</f>
        <v>45</v>
      </c>
      <c r="E127" s="11" t="s">
        <v>1508</v>
      </c>
      <c r="F127" s="11" t="str">
        <f t="shared" si="2"/>
        <v/>
      </c>
      <c r="G127" s="11" t="str">
        <f t="shared" si="3"/>
        <v>3aa;3ba;3ca;3da;3ea;3fa;3ga;3ha;3ia;3ja;3ka;3kb;3kc;3kd;3ke;3kf;3kg;3kh;3ki;3kj;3kk;3kl;3km;3ks;3la;3ma;3oa;3pa;(2R,4S)-3kr;(2S,4R)-3kr;2i;2r;2s;4aa;4ba;4qa;5kc;5ki;5na;6+6â€™;6;7;S1d;S1g;S1l;S1n</v>
      </c>
      <c r="H127" t="s">
        <v>1520</v>
      </c>
      <c r="I127" t="s">
        <v>1521</v>
      </c>
    </row>
    <row r="128" spans="1:9" ht="29" x14ac:dyDescent="0.35">
      <c r="B128" s="10">
        <v>1</v>
      </c>
      <c r="C128" s="10" t="s">
        <v>1509</v>
      </c>
      <c r="D128" s="10">
        <f>VLOOKUP(C128,'OL-JOC - DOI details-from-figsh'!C:H,6,FALSE)</f>
        <v>32</v>
      </c>
      <c r="E128" s="11" t="s">
        <v>1510</v>
      </c>
      <c r="F128" s="11" t="str">
        <f t="shared" si="2"/>
        <v/>
      </c>
      <c r="G128" s="11" t="str">
        <f t="shared" si="3"/>
        <v>3a;3b;3c;3d;3e;3f;3g;3h;3i;3j;3k;3l;3m;3n;3o;3p;3q;3aa;3ab;4b;4c;4d;4e;4f;4g;4h;4i;4j;6a;6b;deutrio-1c;deutrio-3c</v>
      </c>
      <c r="H128" t="s">
        <v>1522</v>
      </c>
      <c r="I128" t="s">
        <v>2005</v>
      </c>
    </row>
    <row r="129" spans="1:30" ht="43.5" x14ac:dyDescent="0.35">
      <c r="A129" s="11" t="s">
        <v>2272</v>
      </c>
      <c r="C129" s="10" t="s">
        <v>1511</v>
      </c>
      <c r="D129" s="10">
        <f>VLOOKUP(C129,'OL-JOC - DOI details-from-figsh'!C:H,6,FALSE)</f>
        <v>28</v>
      </c>
      <c r="E129" s="11" t="s">
        <v>1696</v>
      </c>
      <c r="F129" s="11" t="str">
        <f t="shared" si="2"/>
        <v/>
      </c>
      <c r="G129" s="11" t="str">
        <f t="shared" si="3"/>
        <v>Application NMR;Cyclopropene;3a;3b;3c;3d;3e;3f;3g;3h;3i;3j;3k;3l;3m;3n;3o;3p;3q;3r;3s;3t;3u;3v;3w;3x;3y;SM acid</v>
      </c>
      <c r="H129" t="s">
        <v>1524</v>
      </c>
      <c r="I129" t="s">
        <v>1697</v>
      </c>
    </row>
    <row r="130" spans="1:30" ht="29" x14ac:dyDescent="0.35">
      <c r="B130" s="10" t="s">
        <v>2254</v>
      </c>
      <c r="C130" s="10" t="s">
        <v>1512</v>
      </c>
      <c r="D130" s="10">
        <f>VLOOKUP(C130,'OL-JOC - DOI details-from-figsh'!C:H,6,FALSE)</f>
        <v>18</v>
      </c>
      <c r="E130" s="11" t="s">
        <v>1513</v>
      </c>
      <c r="F130" s="11" t="str">
        <f t="shared" si="2"/>
        <v/>
      </c>
      <c r="G130" s="11" t="str">
        <f t="shared" si="3"/>
        <v>3a;3aa;3ab;3b;3c;3d;3e;3f;3g;3h;3i;3j;3k;3l;3m;3n;3o;3p;3pp;3q;3r;3s;3t;3u;3v;3w;3x;3y;3z;4a;4b;4c;4d;4e;4f;4g;4h</v>
      </c>
      <c r="H130" t="s">
        <v>1525</v>
      </c>
      <c r="I130" t="s">
        <v>1526</v>
      </c>
      <c r="J130" t="s">
        <v>1904</v>
      </c>
      <c r="K130" t="s">
        <v>2007</v>
      </c>
      <c r="L130" t="s">
        <v>2008</v>
      </c>
      <c r="M130" t="s">
        <v>2009</v>
      </c>
      <c r="N130" t="s">
        <v>1701</v>
      </c>
      <c r="O130" t="s">
        <v>2010</v>
      </c>
      <c r="P130" t="s">
        <v>2011</v>
      </c>
      <c r="Q130" t="s">
        <v>2012</v>
      </c>
      <c r="R130" t="s">
        <v>2013</v>
      </c>
      <c r="S130" t="s">
        <v>1682</v>
      </c>
      <c r="T130" t="s">
        <v>2014</v>
      </c>
      <c r="U130" t="s">
        <v>2015</v>
      </c>
      <c r="V130" t="s">
        <v>2016</v>
      </c>
      <c r="W130" t="s">
        <v>2017</v>
      </c>
      <c r="X130" t="s">
        <v>2018</v>
      </c>
      <c r="Y130" t="s">
        <v>2019</v>
      </c>
      <c r="Z130" t="s">
        <v>2020</v>
      </c>
      <c r="AA130" t="s">
        <v>2014</v>
      </c>
      <c r="AB130" t="s">
        <v>2021</v>
      </c>
      <c r="AC130" t="s">
        <v>2022</v>
      </c>
      <c r="AD130" t="s">
        <v>2023</v>
      </c>
    </row>
    <row r="131" spans="1:30" ht="58" x14ac:dyDescent="0.35">
      <c r="A131" s="11" t="s">
        <v>2238</v>
      </c>
      <c r="B131" s="10">
        <v>1</v>
      </c>
      <c r="C131" s="10" t="s">
        <v>1514</v>
      </c>
      <c r="D131" s="10">
        <f>VLOOKUP(C131,'OL-JOC - DOI details-from-figsh'!C:H,6,FALSE)</f>
        <v>32</v>
      </c>
      <c r="E131" s="11" t="s">
        <v>1515</v>
      </c>
      <c r="F131" s="11" t="str">
        <f t="shared" ref="F131:F194" si="4">IF(G131=E131,"",G131)</f>
        <v>3a;3aa;3ab;3b;3c;3d;3e;3f;3g;3h;3i;3j;3k;3l;3m;3n;3o;3p;3q;3r;3s;3t;3u;3v;3w;3x;3y;3z;5;7;9;F</v>
      </c>
      <c r="G131" s="11" t="str">
        <f t="shared" ref="G131:G194" si="5">VLOOKUP(C131,H:I,2,FALSE)</f>
        <v>3a;3aa;3ab;3b;3c;3d;3e;3f;3g;3h;3i;3j;3k;3l;3m;3n;3o;3p;3q;3r;3s;3t;3u;3v;3w;3x;3y;3z;5;7;9;F</v>
      </c>
      <c r="H131" t="s">
        <v>1527</v>
      </c>
      <c r="I131" t="s">
        <v>2006</v>
      </c>
    </row>
    <row r="132" spans="1:30" ht="116" x14ac:dyDescent="0.35">
      <c r="A132" s="11" t="s">
        <v>2238</v>
      </c>
      <c r="B132" s="10">
        <v>1</v>
      </c>
      <c r="C132" s="10" t="s">
        <v>1516</v>
      </c>
      <c r="D132" s="10">
        <f>VLOOKUP(C132,'OL-JOC - DOI details-from-figsh'!C:H,6,FALSE)</f>
        <v>204</v>
      </c>
      <c r="E132" s="11" t="s">
        <v>1517</v>
      </c>
      <c r="F132" s="11" t="str">
        <f t="shared" si="4"/>
        <v>1aa;1ab;1ac;1ad;1ae;1af;1ag;1ai;1c;1d;1e;1f;1g;1h;1n;1p;1r;1s;1t;1u;1v;1w;1x;1y;1z;4a;4aa;4ab;4ac;4ad;4ae;4af;4ag;4ah;4ai;4aj;4b;4c;4d;4e;4f;4g;4h;4i;4j;4k;4l;4m;4n;4o;4p;4q;4r;4s;4t;4u;4v;4w;4x;4y;4z;5</v>
      </c>
      <c r="G132" s="11" t="str">
        <f t="shared" si="5"/>
        <v>1aa;1ab;1ac;1ad;1ae;1af;1ag;1ai;1c;1d;1e;1f;1g;1h;1n;1p;1r;1s;1t;1u;1v;1w;1x;1y;1z;4a;4aa;4ab;4ac;4ad;4ae;4af;4ag;4ah;4ai;4aj;4b;4c;4d;4e;4f;4g;4h;4i;4j;4k;4l;4m;4n;4o;4p;4q;4r;4s;4t;4u;4v;4w;4x;4y;4z;5</v>
      </c>
      <c r="H132" t="s">
        <v>1528</v>
      </c>
      <c r="I132" t="s">
        <v>2024</v>
      </c>
    </row>
    <row r="133" spans="1:30" ht="58" x14ac:dyDescent="0.35">
      <c r="A133" s="11" t="s">
        <v>2273</v>
      </c>
      <c r="C133" s="10" t="s">
        <v>1518</v>
      </c>
      <c r="D133" s="10">
        <f>VLOOKUP(C133,'OL-JOC - DOI details-from-figsh'!C:H,6,FALSE)</f>
        <v>23</v>
      </c>
      <c r="E133" s="11" t="s">
        <v>1519</v>
      </c>
      <c r="F133" s="11" t="str">
        <f t="shared" si="4"/>
        <v>10_Carbon;10_Proton;12_Carbon;12_Proton;13_Carbon;13_Fluorine;13_Proton;15_Carbon;15_Fluorine;15_Proton;17.Proton;17_Carbon;17_Fluorine;5a_Carbon;5a_Fluorine;5a_Proton;5b_Carbon;5b_Fluorine;5b_Proton;7_Carbon;7_Proton;9_Carbon;9_Proton</v>
      </c>
      <c r="G133" s="11" t="str">
        <f t="shared" si="5"/>
        <v>10_Carbon;10_Proton;12_Carbon;12_Proton;13_Carbon;13_Fluorine;13_Proton;15_Carbon;15_Fluorine;15_Proton;17.Proton;17_Carbon;17_Fluorine;5a_Carbon;5a_Fluorine;5a_Proton;5b_Carbon;5b_Fluorine;5b_Proton;7_Carbon;7_Proton;9_Carbon;9_Proton</v>
      </c>
      <c r="H133" t="s">
        <v>1529</v>
      </c>
      <c r="I133" t="s">
        <v>1703</v>
      </c>
    </row>
    <row r="134" spans="1:30" ht="43.5" x14ac:dyDescent="0.35">
      <c r="B134" s="10">
        <v>1</v>
      </c>
      <c r="C134" s="10" t="s">
        <v>1520</v>
      </c>
      <c r="D134" s="10">
        <f>VLOOKUP(C134,'OL-JOC - DOI details-from-figsh'!C:H,6,FALSE)</f>
        <v>52</v>
      </c>
      <c r="E134" s="11" t="s">
        <v>1521</v>
      </c>
      <c r="F134" s="11" t="str">
        <f t="shared" si="4"/>
        <v/>
      </c>
      <c r="G134" s="11" t="str">
        <f t="shared" si="5"/>
        <v>1a;1b;1c;1d;1e;1f;1g;1h;1i;1j;1k;2r;2s;2t;3a;3b;3c;3d;3e;3f;3g;3h;3i;3j;3k;3l;4a;4b;4c;4d;4e;4f;4g;4h;4i;4j;4k;4l;4m;4n;4o;4p;4q;4r;4s;4t;4u;4v;4w;5;6;7</v>
      </c>
      <c r="H134" t="s">
        <v>1530</v>
      </c>
      <c r="I134" t="s">
        <v>1704</v>
      </c>
    </row>
    <row r="135" spans="1:30" ht="72.5" x14ac:dyDescent="0.35">
      <c r="A135" s="11" t="s">
        <v>2238</v>
      </c>
      <c r="B135" s="10">
        <v>1</v>
      </c>
      <c r="C135" s="10" t="s">
        <v>1522</v>
      </c>
      <c r="D135" s="10">
        <f>VLOOKUP(C135,'OL-JOC - DOI details-from-figsh'!C:H,6,FALSE)</f>
        <v>146</v>
      </c>
      <c r="E135" s="11" t="s">
        <v>1523</v>
      </c>
      <c r="F135" s="11" t="str">
        <f t="shared" si="4"/>
        <v>3J;3a;3b;3c;3d;3e;3f;3g;3h;3i;3k;3l;3m;3n;3o;3p;3q;3r;3s;3t;3u;3v;3w;5a;5b;5c;5d;5e;5f;5g;5h;5i;5j;5k;5l;5m;5n;5o;6;7</v>
      </c>
      <c r="G135" s="11" t="str">
        <f t="shared" si="5"/>
        <v>3J;3a;3b;3c;3d;3e;3f;3g;3h;3i;3k;3l;3m;3n;3o;3p;3q;3r;3s;3t;3u;3v;3w;5a;5b;5c;5d;5e;5f;5g;5h;5i;5j;5k;5l;5m;5n;5o;6;7</v>
      </c>
      <c r="H135" t="s">
        <v>1531</v>
      </c>
      <c r="I135" t="s">
        <v>2025</v>
      </c>
    </row>
    <row r="136" spans="1:30" ht="43.5" x14ac:dyDescent="0.35">
      <c r="A136" s="11" t="s">
        <v>2274</v>
      </c>
      <c r="C136" s="10" t="s">
        <v>1524</v>
      </c>
      <c r="D136" s="10">
        <f>VLOOKUP(C136,'OL-JOC - DOI details-from-figsh'!C:H,6,FALSE)</f>
        <v>48</v>
      </c>
      <c r="E136" s="11" t="s">
        <v>1697</v>
      </c>
      <c r="F136" s="11" t="str">
        <f t="shared" si="4"/>
        <v/>
      </c>
      <c r="G136" s="11" t="str">
        <f t="shared" si="5"/>
        <v>3a;3aa;3ab;3ac;3ad;3ae;3af;3ag;3ah;3ai;3aj;3ak;3al;3am;3an;3ao;3ap;3aq;3ar;3as;3at;3au;3b;3c;3d;3e;3f;3g;3h;3i;3j;3k;3l;3m;3n;3o;3p;3q;3r;3s;3t;3u;3v;3w;3x;3y;3z;MH Mech</v>
      </c>
      <c r="H136" t="s">
        <v>1533</v>
      </c>
      <c r="I136" t="s">
        <v>1705</v>
      </c>
    </row>
    <row r="137" spans="1:30" ht="58" x14ac:dyDescent="0.35">
      <c r="A137" s="11" t="s">
        <v>2275</v>
      </c>
      <c r="C137" s="10" t="s">
        <v>1525</v>
      </c>
      <c r="D137" s="10">
        <f>VLOOKUP(C137,'OL-JOC - DOI details-from-figsh'!C:H,6,FALSE)</f>
        <v>156</v>
      </c>
      <c r="E137" s="11" t="s">
        <v>1526</v>
      </c>
      <c r="F137" s="11" t="str">
        <f t="shared" si="4"/>
        <v/>
      </c>
      <c r="G137" s="11" t="str">
        <f t="shared" si="5"/>
        <v>1a-C;1a-H;1b-C;1b-H;1c-C;1c-H;2aa-C;2aa-H;2ab-C;2ab-H;2ac-C;2ac-H;2ay-C;2ay-H;3ab-C;3ae-C;3ae-H;3af-C;3af-H;3ag-C;3aj-F;3ak-H;3ao-C;3ap-H;3b-C;3b-H;3c-C;3d-C;3d-H;3f-C;3f-H;3g-C;3g-H;3h-C;3h-H;3j-C;3m-C;3m-H;3o-C;3q-C;3r-C;3s-C;3t-C;3u-C;3v-C;3w-C;3x-C;3x-H</v>
      </c>
      <c r="H137" t="s">
        <v>1534</v>
      </c>
      <c r="I137" t="s">
        <v>1535</v>
      </c>
    </row>
    <row r="138" spans="1:30" ht="116" x14ac:dyDescent="0.35">
      <c r="A138" s="11" t="s">
        <v>2258</v>
      </c>
      <c r="C138" s="10" t="s">
        <v>1527</v>
      </c>
      <c r="D138" s="10">
        <f>VLOOKUP(C138,'OL-JOC - DOI details-from-figsh'!C:H,6,FALSE)</f>
        <v>216</v>
      </c>
      <c r="E138" s="11" t="s">
        <v>1698</v>
      </c>
      <c r="F138" s="11" t="str">
        <f t="shared" si="4"/>
        <v>10a_PROTON_01;11a_PROTON_01;12a_PROTON_01;13a_PROTON_01;14a_PROTON_01;15a_PROTON_01;16a_PROTON_02;17a_PROTON_01;18a_PROTON_01;19aR_PROTON_01;19a_PROTON_01;20a_PROTON_01;21a_PROTON_01;22a_PROTON_01;23a_PROTON_01;24aR_PROTON_01;24a_PROTON_01;25a_PROTON_01;26aR_PROTON_01;26a_PROTON_01;27a_PROTON_01;28a_PROTON_01;29a_PROTON_01;2a_PROTON_01;2b_PROTON_01;2cR_PROTON_01;2c_PROTON_01;2d_PROTON_01;2e_PROTON_01;2f_PROTON_01;2g_PROT</v>
      </c>
      <c r="G138" s="11" t="str">
        <f t="shared" si="5"/>
        <v>10a_PROTON_01;11a_PROTON_01;12a_PROTON_01;13a_PROTON_01;14a_PROTON_01;15a_PROTON_01;16a_PROTON_02;17a_PROTON_01;18a_PROTON_01;19aR_PROTON_01;19a_PROTON_01;20a_PROTON_01;21a_PROTON_01;22a_PROTON_01;23a_PROTON_01;24aR_PROTON_01;24a_PROTON_01;25a_PROTON_01;26aR_PROTON_01;26a_PROTON_01;27a_PROTON_01;28a_PROTON_01;29a_PROTON_01;2a_PROTON_01;2b_PROTON_01;2cR_PROTON_01;2c_PROTON_01;2d_PROTON_01;2e_PROTON_01;2f_PROTON_01;2g_PROT</v>
      </c>
      <c r="H138" t="s">
        <v>1536</v>
      </c>
      <c r="I138" t="s">
        <v>1537</v>
      </c>
    </row>
    <row r="139" spans="1:30" ht="72.5" x14ac:dyDescent="0.35">
      <c r="A139" s="11" t="s">
        <v>2238</v>
      </c>
      <c r="B139" s="10">
        <v>1</v>
      </c>
      <c r="C139" s="10" t="s">
        <v>1528</v>
      </c>
      <c r="D139" s="10">
        <f>VLOOKUP(C139,'OL-JOC - DOI details-from-figsh'!C:H,6,FALSE)</f>
        <v>36</v>
      </c>
      <c r="E139" s="11" t="s">
        <v>1702</v>
      </c>
      <c r="F139" s="11" t="str">
        <f t="shared" si="4"/>
        <v>3a;5a;5b;5c;5d;5e;5f;5g;5h;5i;5j;5k;5l;5m;5n;5o;5p;5q;5r;5s;5t;5u;5v;5w;6a;6b;6c;6d;7a;7b;7c_first diastereomer;7c_second diastereomer;7d;7e;9a;9b</v>
      </c>
      <c r="G139" s="11" t="str">
        <f t="shared" si="5"/>
        <v>3a;5a;5b;5c;5d;5e;5f;5g;5h;5i;5j;5k;5l;5m;5n;5o;5p;5q;5r;5s;5t;5u;5v;5w;6a;6b;6c;6d;7a;7b;7c_first diastereomer;7c_second diastereomer;7d;7e;9a;9b</v>
      </c>
      <c r="H139" t="s">
        <v>1538</v>
      </c>
      <c r="I139" t="s">
        <v>1539</v>
      </c>
    </row>
    <row r="140" spans="1:30" ht="58" x14ac:dyDescent="0.35">
      <c r="B140" s="10">
        <v>1</v>
      </c>
      <c r="C140" s="10" t="s">
        <v>1529</v>
      </c>
      <c r="D140" s="10">
        <f>VLOOKUP(C140,'OL-JOC - DOI details-from-figsh'!C:H,6,FALSE)</f>
        <v>47</v>
      </c>
      <c r="E140" s="11" t="s">
        <v>1703</v>
      </c>
      <c r="F140" s="11" t="str">
        <f t="shared" si="4"/>
        <v/>
      </c>
      <c r="G140" s="11" t="str">
        <f t="shared" si="5"/>
        <v>2B;2E;2h;2k;2w;2x;2y;2z;3 aA;3 aB;3 aC;3 aD;3 aE;3aa;3ab;3ac;3ad;3ae;3af;3ag;3ah;3ai;3aj;3ak;3al;3am;3an;3ao;3ap;3aq;3ar;3as;3at;3au;3av;3aw+3aw';3ax;3ay;3az;3be;3ce;3de;3ee;4aa;5aa;cis-3ae;cis-3ay</v>
      </c>
      <c r="H140" t="s">
        <v>1540</v>
      </c>
      <c r="I140" t="s">
        <v>1541</v>
      </c>
    </row>
    <row r="141" spans="1:30" ht="43.5" x14ac:dyDescent="0.35">
      <c r="B141" s="10">
        <v>1</v>
      </c>
      <c r="C141" s="10" t="s">
        <v>1530</v>
      </c>
      <c r="D141" s="10">
        <f>VLOOKUP(C141,'OL-JOC - DOI details-from-figsh'!C:H,6,FALSE)</f>
        <v>15</v>
      </c>
      <c r="E141" s="11" t="s">
        <v>1704</v>
      </c>
      <c r="F141" s="11" t="str">
        <f t="shared" si="4"/>
        <v/>
      </c>
      <c r="G141" s="11" t="str">
        <f t="shared" si="5"/>
        <v>3a;3aa;3ab;3ac;3b;3c;3d F;3d;3e;3f;3g;3h;3i;3j;3k;3l F;3l;3m;3n;3o;3p;3q;3r;3s;3t;3u;3v F;3v;3w;3x;3y;3z;4 mninor;4;5;7a;7b;Indoline</v>
      </c>
      <c r="H141" t="s">
        <v>1542</v>
      </c>
      <c r="I141" t="s">
        <v>1706</v>
      </c>
    </row>
    <row r="142" spans="1:30" ht="43.5" x14ac:dyDescent="0.35">
      <c r="A142" s="11" t="s">
        <v>2275</v>
      </c>
      <c r="C142" s="10" t="s">
        <v>1531</v>
      </c>
      <c r="D142" s="10">
        <f>VLOOKUP(C142,'OL-JOC - DOI details-from-figsh'!C:H,6,FALSE)</f>
        <v>42</v>
      </c>
      <c r="E142" s="11" t="s">
        <v>1532</v>
      </c>
      <c r="F142" s="11" t="str">
        <f t="shared" si="4"/>
        <v>-3C;-H;0-3C;0-H;2-3C;2-H;3-3C;3-H;4-3C;4-H;5-3C;5-H;6-3C;6-H;7-3C;7-H;8-3C;8-H;9-3C;9-H;20-3C;20-H</v>
      </c>
      <c r="G142" s="11" t="str">
        <f t="shared" si="5"/>
        <v>-3C;-H;0-3C;0-H;2-3C;2-H;3-3C;3-H;4-3C;4-H;5-3C;5-H;6-3C;6-H;7-3C;7-H;8-3C;8-H;9-3C;9-H;20-3C;20-H</v>
      </c>
      <c r="H142" t="s">
        <v>1543</v>
      </c>
      <c r="I142" t="s">
        <v>1544</v>
      </c>
      <c r="J142" t="s">
        <v>2027</v>
      </c>
      <c r="K142" t="s">
        <v>2028</v>
      </c>
    </row>
    <row r="143" spans="1:30" ht="43.5" x14ac:dyDescent="0.35">
      <c r="B143" s="10">
        <v>1</v>
      </c>
      <c r="C143" s="10" t="s">
        <v>1533</v>
      </c>
      <c r="D143" s="10">
        <f>VLOOKUP(C143,'OL-JOC - DOI details-from-figsh'!C:H,6,FALSE)</f>
        <v>13</v>
      </c>
      <c r="E143" s="11" t="s">
        <v>1705</v>
      </c>
      <c r="F143" s="11" t="str">
        <f t="shared" si="4"/>
        <v/>
      </c>
      <c r="G143" s="11" t="str">
        <f t="shared" si="5"/>
        <v>comp 10;comp 11;comp 12-Ac;comp 12;comp 13;comp 14;comp 3;comp 4;comp 5;comp 8;comp 9;streptoglceride A(1);streptoglceride A(2)</v>
      </c>
      <c r="H143" t="s">
        <v>1545</v>
      </c>
      <c r="I143" t="s">
        <v>2026</v>
      </c>
    </row>
    <row r="144" spans="1:30" ht="29" x14ac:dyDescent="0.35">
      <c r="B144" s="10">
        <v>1</v>
      </c>
      <c r="C144" s="10" t="s">
        <v>1534</v>
      </c>
      <c r="D144" s="10">
        <f>VLOOKUP(C144,'OL-JOC - DOI details-from-figsh'!C:H,6,FALSE)</f>
        <v>30</v>
      </c>
      <c r="E144" s="11" t="s">
        <v>1535</v>
      </c>
      <c r="F144" s="11" t="str">
        <f t="shared" si="4"/>
        <v/>
      </c>
      <c r="G144" s="11" t="str">
        <f t="shared" si="5"/>
        <v>3'qa;3aa;3ab;3ac;3ad;3af;3ag;3ah;3ai;3ba;3ca;3da;3ea;3fa;3ga;3ha;3ia;3ja;3ka;3la;3ma;3na;3oa;3pa;3qa;3ra;3sa;3ta;4aa;5aa</v>
      </c>
      <c r="H144" t="s">
        <v>1547</v>
      </c>
      <c r="I144" t="s">
        <v>1707</v>
      </c>
    </row>
    <row r="145" spans="1:30" ht="87" x14ac:dyDescent="0.35">
      <c r="B145" s="10">
        <v>1</v>
      </c>
      <c r="C145" s="10" t="s">
        <v>1536</v>
      </c>
      <c r="D145" s="10">
        <f>VLOOKUP(C145,'OL-JOC - DOI details-from-figsh'!C:H,6,FALSE)</f>
        <v>71</v>
      </c>
      <c r="E145" s="11" t="s">
        <v>1537</v>
      </c>
      <c r="F145" s="11" t="str">
        <f t="shared" si="4"/>
        <v/>
      </c>
      <c r="G145" s="11" t="str">
        <f t="shared" si="5"/>
        <v>6pb';D3T-ketone;3a'a;3aa;3au;3b'a;3ba;3c'a;3ca;3d'a;3da;3e'a;3ea;3en;3fa;3ga;3ha;3ia;3ja;3ka;3la;3ma;3na;3oa;3pa';3pa;3pb;3pc;3pd;3pe;3pf;3pg;3ph;3pi;3pj;3pk;3pl;3pm;3pn;3po;3pp;3pq;3pr;3ps;3pt;3pu;3pv;3pw;3px;3py;3pz;3qa;3ra;3sa;3ta;3ua;3va;3wa;3xa;3ya;3za;isothiazole;nitroalkane</v>
      </c>
      <c r="H145" t="s">
        <v>1548</v>
      </c>
      <c r="I145" t="s">
        <v>2029</v>
      </c>
    </row>
    <row r="146" spans="1:30" ht="29" x14ac:dyDescent="0.35">
      <c r="B146" s="10">
        <v>1</v>
      </c>
      <c r="C146" s="10" t="s">
        <v>1538</v>
      </c>
      <c r="D146" s="10">
        <f>VLOOKUP(C146,'OL-JOC - DOI details-from-figsh'!C:H,6,FALSE)</f>
        <v>24</v>
      </c>
      <c r="E146" s="11" t="s">
        <v>1539</v>
      </c>
      <c r="F146" s="11" t="str">
        <f t="shared" si="4"/>
        <v/>
      </c>
      <c r="G146" s="11" t="str">
        <f t="shared" si="5"/>
        <v>11a;12a;13a;14a;15a;15b;15d;16a;16b;16c;17a;17b;18a;19a;1a;20a;20b;21a;22a;2a;3a;4a;5a;6a;7a;8a;9a</v>
      </c>
      <c r="H146" t="s">
        <v>1550</v>
      </c>
      <c r="I146" t="s">
        <v>1551</v>
      </c>
    </row>
    <row r="147" spans="1:30" ht="29" x14ac:dyDescent="0.35">
      <c r="B147" s="10">
        <v>1</v>
      </c>
      <c r="C147" s="10" t="s">
        <v>1540</v>
      </c>
      <c r="D147" s="10">
        <f>VLOOKUP(C147,'OL-JOC - DOI details-from-figsh'!C:H,6,FALSE)</f>
        <v>40</v>
      </c>
      <c r="E147" s="11" t="s">
        <v>1541</v>
      </c>
      <c r="F147" s="11" t="str">
        <f t="shared" si="4"/>
        <v/>
      </c>
      <c r="G147" s="11" t="str">
        <f t="shared" si="5"/>
        <v>10;1e;1l;1o;4a;4b;4c;4d;4e;4f;4g;4h;4i;4j;4k;4l;4m';4m;4n;4o;4p;4q;4t';4t;6a';6a;6b;6c;6d;6e;6f;6g;6h;6i;6j;6k;6l;9a;9b'';9b';9b;9c</v>
      </c>
      <c r="H147" t="s">
        <v>1552</v>
      </c>
      <c r="I147" t="s">
        <v>1553</v>
      </c>
    </row>
    <row r="148" spans="1:30" ht="72.5" x14ac:dyDescent="0.35">
      <c r="B148" s="10">
        <v>1</v>
      </c>
      <c r="C148" s="10" t="s">
        <v>1542</v>
      </c>
      <c r="D148" s="10">
        <f>VLOOKUP(C148,'OL-JOC - DOI details-from-figsh'!C:H,6,FALSE)</f>
        <v>52</v>
      </c>
      <c r="E148" s="11" t="s">
        <v>1706</v>
      </c>
      <c r="F148" s="11" t="str">
        <f t="shared" si="4"/>
        <v/>
      </c>
      <c r="G148" s="11" t="str">
        <f t="shared" si="5"/>
        <v>1 A;1 B;1a;1b;1c;1d;1e;1f;1g;1h;1i;1j;1k;1l;1m;1n;1o;1p;1q;1r;1s;1t;1u;1v;1w;1x;1y;1z;2 B;2a;2b;2c;2d;2e;2f;2g;2h;2i;2j;2k;2l;2m;2n;2o;2p;2q;2r;2s;2t;2u;2x;2y</v>
      </c>
      <c r="H148" t="s">
        <v>1554</v>
      </c>
      <c r="I148" t="s">
        <v>1555</v>
      </c>
    </row>
    <row r="149" spans="1:30" x14ac:dyDescent="0.35">
      <c r="B149" s="10">
        <v>1</v>
      </c>
      <c r="C149" s="10" t="s">
        <v>1543</v>
      </c>
      <c r="D149" s="10">
        <f>VLOOKUP(C149,'OL-JOC - DOI details-from-figsh'!C:H,6,FALSE)</f>
        <v>17</v>
      </c>
      <c r="E149" s="11" t="s">
        <v>1544</v>
      </c>
      <c r="F149" s="11" t="str">
        <f t="shared" si="4"/>
        <v/>
      </c>
      <c r="G149" s="11" t="str">
        <f t="shared" si="5"/>
        <v>10;11a;11b;11c;11d;12a;12b;13;2;3;4;5;6;7;8;9;peropyrene</v>
      </c>
      <c r="H149" t="s">
        <v>1556</v>
      </c>
      <c r="I149" t="s">
        <v>2030</v>
      </c>
    </row>
    <row r="150" spans="1:30" ht="101.5" x14ac:dyDescent="0.35">
      <c r="A150" s="11" t="s">
        <v>2276</v>
      </c>
      <c r="B150" s="10">
        <v>1</v>
      </c>
      <c r="C150" s="10" t="s">
        <v>1545</v>
      </c>
      <c r="D150" s="10">
        <f>VLOOKUP(C150,'OL-JOC - DOI details-from-figsh'!C:H,6,FALSE)</f>
        <v>37</v>
      </c>
      <c r="E150" s="11" t="s">
        <v>1546</v>
      </c>
      <c r="F150" s="11" t="str">
        <f t="shared" si="4"/>
        <v>dataset;VAE_20;VAE_40;VAE_60;VAE_80;aug20;aug20_gan20;aug20_gan40;aug20_gan60;aug20xgan20;aug20xgan40;aug20xgan60;aug30;aug50;aug50_gan20;aug50_gan40;aug50_gan60;aug50xgan20;aug50xgan40;aug50xgan60;aug74+VAE40;aug74+VAE60;aug74;aug74_gan20;aug74_gan40;aug74_gan60;aug74thenVAE40;aug74thenVAE60;aug74xgan20;aug74xgan40;aug74xgan60;gan20;gan40;gan60;gan80;original;scaffold_splitting;wo_sterimol;origin_fitting.zip__;sterimol.</v>
      </c>
      <c r="G150" s="11" t="str">
        <f t="shared" si="5"/>
        <v>dataset;VAE_20;VAE_40;VAE_60;VAE_80;aug20;aug20_gan20;aug20_gan40;aug20_gan60;aug20xgan20;aug20xgan40;aug20xgan60;aug30;aug50;aug50_gan20;aug50_gan40;aug50_gan60;aug50xgan20;aug50xgan40;aug50xgan60;aug74+VAE40;aug74+VAE60;aug74;aug74_gan20;aug74_gan40;aug74_gan60;aug74thenVAE40;aug74thenVAE60;aug74xgan20;aug74xgan40;aug74xgan60;gan20;gan40;gan60;gan80;original;scaffold_splitting;wo_sterimol;origin_fitting.zip__;sterimol.</v>
      </c>
      <c r="H150" t="s">
        <v>1558</v>
      </c>
      <c r="I150" t="s">
        <v>2031</v>
      </c>
      <c r="J150" t="s">
        <v>2033</v>
      </c>
      <c r="K150" t="s">
        <v>2034</v>
      </c>
      <c r="L150" t="s">
        <v>2035</v>
      </c>
      <c r="M150" t="s">
        <v>2036</v>
      </c>
      <c r="N150" t="s">
        <v>2037</v>
      </c>
      <c r="O150" t="s">
        <v>2038</v>
      </c>
      <c r="P150" t="s">
        <v>2039</v>
      </c>
      <c r="Q150" t="s">
        <v>1561</v>
      </c>
      <c r="R150" t="s">
        <v>2040</v>
      </c>
      <c r="S150" t="s">
        <v>1760</v>
      </c>
      <c r="T150" t="s">
        <v>2041</v>
      </c>
      <c r="U150" t="s">
        <v>2042</v>
      </c>
      <c r="V150" t="s">
        <v>2043</v>
      </c>
      <c r="W150" t="s">
        <v>2044</v>
      </c>
      <c r="X150" t="e" cm="1">
        <f t="array" ref="X150">-NME-N</f>
        <v>#NAME?</v>
      </c>
      <c r="Y150" t="s">
        <v>2045</v>
      </c>
      <c r="Z150" t="s">
        <v>2046</v>
      </c>
      <c r="AA150" t="e" cm="1">
        <f t="array" ref="AA150">-Lig</f>
        <v>#NAME?</v>
      </c>
      <c r="AB150" t="s">
        <v>1643</v>
      </c>
      <c r="AC150" t="s">
        <v>2047</v>
      </c>
      <c r="AD150" t="e" cm="1">
        <f t="array" ref="AD150">-Lig-NMR</f>
        <v>#NAME?</v>
      </c>
    </row>
    <row r="151" spans="1:30" ht="29" x14ac:dyDescent="0.35">
      <c r="A151" s="11" t="s">
        <v>2304</v>
      </c>
      <c r="B151" s="10">
        <v>1</v>
      </c>
      <c r="C151" s="10" t="s">
        <v>1547</v>
      </c>
      <c r="D151" s="10" t="e">
        <f>VLOOKUP(C151,'OL-JOC - DOI details-from-figsh'!C:H,6,FALSE)</f>
        <v>#N/A</v>
      </c>
      <c r="E151" s="11" t="s">
        <v>1707</v>
      </c>
      <c r="F151" s="11" t="str">
        <f t="shared" si="4"/>
        <v/>
      </c>
      <c r="G151" s="11" t="str">
        <f t="shared" si="5"/>
        <v>3aa;3ab;3ac;3ad;3ae;3af;3ag;3ah;3ai;3aj;3ak;3al;3am;3an;3ao;3ap;3aq;3ar;3as;3at;3au;3av;3bb';3bb;3cc &amp; 3cc';4aa;4an;5a;5b;5c;5d;d1</v>
      </c>
      <c r="H151" t="s">
        <v>1560</v>
      </c>
      <c r="I151" t="s">
        <v>2032</v>
      </c>
      <c r="J151">
        <v>128</v>
      </c>
      <c r="K151" t="s">
        <v>2049</v>
      </c>
      <c r="L151" t="s">
        <v>2050</v>
      </c>
      <c r="M151" t="s">
        <v>2051</v>
      </c>
      <c r="N151">
        <v>270</v>
      </c>
      <c r="O151" t="s">
        <v>1683</v>
      </c>
      <c r="P151" t="s">
        <v>1644</v>
      </c>
      <c r="Q151" t="s">
        <v>2052</v>
      </c>
      <c r="R151" t="s">
        <v>2053</v>
      </c>
      <c r="S151">
        <v>324</v>
      </c>
      <c r="T151">
        <v>-940</v>
      </c>
      <c r="U151" t="s">
        <v>2054</v>
      </c>
      <c r="V151" t="s">
        <v>2055</v>
      </c>
      <c r="W151" t="s">
        <v>2056</v>
      </c>
      <c r="X151" t="s">
        <v>2057</v>
      </c>
      <c r="Y151" t="s">
        <v>2058</v>
      </c>
      <c r="Z151" t="s">
        <v>2059</v>
      </c>
      <c r="AA151" t="s">
        <v>2060</v>
      </c>
      <c r="AB151">
        <v>79</v>
      </c>
      <c r="AC151" t="s">
        <v>2061</v>
      </c>
      <c r="AD151" t="s">
        <v>2062</v>
      </c>
    </row>
    <row r="152" spans="1:30" ht="58" x14ac:dyDescent="0.35">
      <c r="A152" s="11" t="s">
        <v>2252</v>
      </c>
      <c r="B152" s="10" t="s">
        <v>1095</v>
      </c>
      <c r="C152" s="10" t="s">
        <v>1548</v>
      </c>
      <c r="D152" s="10" t="e">
        <f>VLOOKUP(C152,'OL-JOC - DOI details-from-figsh'!C:H,6,FALSE)</f>
        <v>#N/A</v>
      </c>
      <c r="E152" s="11" t="s">
        <v>1549</v>
      </c>
      <c r="F152" s="11" t="str">
        <f t="shared" si="4"/>
        <v>README.txt;MEP_2i_trj;MEP_2k_trj;TS-2i-min;TS-4i-min;enedione-min;hydroquinone-min;protonated-enedione-min;protonated-hydroquinone-min;protonated-quinol-min;quinol-min;MEP_4i_trj;MEP_4k_trj;TS-2k-min;TS-4k-min;table1-1a;table1-1b</v>
      </c>
      <c r="G152" s="11" t="str">
        <f t="shared" si="5"/>
        <v>README.txt;MEP_2i_trj;MEP_2k_trj;TS-2i-min;TS-4i-min;enedione-min;hydroquinone-min;protonated-enedione-min;protonated-hydroquinone-min;protonated-quinol-min;quinol-min;MEP_4i_trj;MEP_4k_trj;TS-2k-min;TS-4k-min;table1-1a;table1-1b</v>
      </c>
      <c r="H152" t="s">
        <v>1562</v>
      </c>
      <c r="I152" t="s">
        <v>2048</v>
      </c>
    </row>
    <row r="153" spans="1:30" ht="43.5" x14ac:dyDescent="0.35">
      <c r="B153" s="10">
        <v>1</v>
      </c>
      <c r="C153" s="10" t="s">
        <v>1550</v>
      </c>
      <c r="D153" s="10">
        <f>VLOOKUP(C153,'OL-JOC - DOI details-from-figsh'!C:H,6,FALSE)</f>
        <v>47</v>
      </c>
      <c r="E153" s="11" t="s">
        <v>1551</v>
      </c>
      <c r="F153" s="11" t="str">
        <f t="shared" si="4"/>
        <v/>
      </c>
      <c r="G153" s="11" t="str">
        <f t="shared" si="5"/>
        <v>2a;2aa;2ab;2ac;2ad;2ae;2af;2ag;2ah;2ai;2aj;2ak;2b;2c;2d;2e;2f;2g;2h;2i;2j;2k;2l;2m;2n;2o;2p;2q;2r;2s;2t;2u;2v;2w;2x;2y;2z;3ac;3ad;3j;3k;3n;3o;3p;3w;3y;3z</v>
      </c>
      <c r="H153" t="s">
        <v>1563</v>
      </c>
      <c r="I153" t="s">
        <v>1564</v>
      </c>
    </row>
    <row r="154" spans="1:30" x14ac:dyDescent="0.35">
      <c r="B154" s="10">
        <v>1</v>
      </c>
      <c r="C154" s="10" t="s">
        <v>1552</v>
      </c>
      <c r="D154" s="10">
        <f>VLOOKUP(C154,'OL-JOC - DOI details-from-figsh'!C:H,6,FALSE)</f>
        <v>19</v>
      </c>
      <c r="E154" s="11" t="s">
        <v>1553</v>
      </c>
      <c r="F154" s="11" t="str">
        <f t="shared" si="4"/>
        <v/>
      </c>
      <c r="G154" s="11" t="str">
        <f t="shared" si="5"/>
        <v>13;16;21;22;23;24;25;26;27;30;31;32;33;34;35;36;38;39;9</v>
      </c>
      <c r="H154" t="s">
        <v>1565</v>
      </c>
      <c r="I154" t="s">
        <v>2063</v>
      </c>
    </row>
    <row r="155" spans="1:30" ht="58" x14ac:dyDescent="0.35">
      <c r="B155" s="10">
        <v>1</v>
      </c>
      <c r="C155" s="10" t="s">
        <v>1554</v>
      </c>
      <c r="D155" s="10">
        <f>VLOOKUP(C155,'OL-JOC - DOI details-from-figsh'!C:H,6,FALSE)</f>
        <v>71</v>
      </c>
      <c r="E155" s="11" t="s">
        <v>1555</v>
      </c>
      <c r="F155" s="11" t="str">
        <f t="shared" si="4"/>
        <v/>
      </c>
      <c r="G155" s="11" t="str">
        <f t="shared" si="5"/>
        <v>10;10a;11;1a;1b;1c;1d;1e;1f;1g;1h;1i;1j;1k;1l;1m;1n;1o;1p;1q;1s;3a';3a;3b;3c;3d;3e;3f;3g;3h;3i;3j;3k;3ka;3l;3m;3n;3o;3p;3q;3r;3s;3t;3u;3v;3w;3x;3y;3z;4b;4c;4d;4e;4f;4g;4h;4i;4j;4k;4l;4m;4n;4o;4p;4q;4r;4s;5;6;7;8;9</v>
      </c>
      <c r="H155" t="s">
        <v>1566</v>
      </c>
      <c r="I155" t="s">
        <v>1567</v>
      </c>
    </row>
    <row r="156" spans="1:30" x14ac:dyDescent="0.35">
      <c r="A156" s="11" t="s">
        <v>2277</v>
      </c>
      <c r="B156" s="10" t="s">
        <v>1095</v>
      </c>
      <c r="C156" s="10" t="s">
        <v>1556</v>
      </c>
      <c r="D156" s="10" t="e">
        <f>VLOOKUP(C156,'OL-JOC - DOI details-from-figsh'!C:H,6,FALSE)</f>
        <v>#N/A</v>
      </c>
      <c r="E156" s="11" t="s">
        <v>1557</v>
      </c>
      <c r="F156" s="11" t="str">
        <f t="shared" si="4"/>
        <v>2Ni0;3Ni-1;3Ni-2;3Ni-3;3Ni-4;3Ni-5</v>
      </c>
      <c r="G156" s="11" t="str">
        <f t="shared" si="5"/>
        <v>2Ni0;3Ni-1;3Ni-2;3Ni-3;3Ni-4;3Ni-5</v>
      </c>
      <c r="H156" t="s">
        <v>1568</v>
      </c>
      <c r="I156" t="s">
        <v>1569</v>
      </c>
    </row>
    <row r="157" spans="1:30" ht="58" x14ac:dyDescent="0.35">
      <c r="A157" s="11" t="s">
        <v>2275</v>
      </c>
      <c r="C157" s="10" t="s">
        <v>1558</v>
      </c>
      <c r="D157" s="10">
        <f>VLOOKUP(C157,'OL-JOC - DOI details-from-figsh'!C:H,6,FALSE)</f>
        <v>45</v>
      </c>
      <c r="E157" s="11" t="s">
        <v>1559</v>
      </c>
      <c r="F157" s="11" t="str">
        <f t="shared" si="4"/>
        <v>-3C;-H;0-3C;0-9F;0-H;2-3C;2-H;3-3C;3-H;4-3C;4-H;5-3C;5-H;6-3C;6-H;7-3C;7-H;8-3C;8-H;9-3C;9-H;20-3C;20-H;22-H;22-C-3C</v>
      </c>
      <c r="G157" s="11" t="str">
        <f t="shared" si="5"/>
        <v>-3C;-H;0-3C;0-9F;0-H;2-3C;2-H;3-3C;3-H;4-3C;4-H;5-3C;5-H;6-3C;6-H;7-3C;7-H;8-3C;8-H;9-3C;9-H;20-3C;20-H;22-H;22-C-3C</v>
      </c>
      <c r="H157" t="s">
        <v>1570</v>
      </c>
      <c r="I157" t="s">
        <v>1571</v>
      </c>
    </row>
    <row r="158" spans="1:30" ht="116" x14ac:dyDescent="0.35">
      <c r="B158" s="10">
        <v>1</v>
      </c>
      <c r="C158" s="10" t="s">
        <v>1560</v>
      </c>
      <c r="D158" s="10">
        <f>VLOOKUP(C158,'OL-JOC - DOI details-from-figsh'!C:H,6,FALSE)</f>
        <v>119</v>
      </c>
      <c r="E158" s="11" t="s">
        <v>1708</v>
      </c>
      <c r="F158" s="11" t="str">
        <f t="shared" si="4"/>
        <v>10;11;12;13;18;19;1u;1ze;1zf;1zh;2b-d2;2k;2z;3a;3b-d2;3b;3c;3d;3e;3f;3g;3h;3i;3j;3k;3l;3m;3n;3o;3p;3s;3t;3u;3v;3w;3x;3y;3z;3za;3zb;3zc;3zd;3ze;3zf;3zg;3zh;4a-q;4r;4t-zb;4zc;5a;5b;5c;5d;5e;5f;5g;5h;5i;5j;5k;5l;5m;5n;5o;5p;5q;5r;5s;5t;5u;5v;5w;5x;5y;5z;5za;5zb;5zc;5zd;6a;6b;6c;6d;6e;6f;6g;6h;6i;6j;6k;6l;6m;6n;6o;6p;6q;6r;6s;6t;6u;6v;7;8;9;Competitive C-C vs C=C K2CO3-Crude-1H;Competitive C-C vs C=C KOH-Crude-1H;Competitive</v>
      </c>
      <c r="G158" s="11" t="str">
        <f t="shared" si="5"/>
        <v>10;11;12;13;18;19;1u;1ze;1zf;1zh;2b-d2;2k;2z;3a;3b-d2;3b;3c;3d;3e;3f;3g;3h;3i;3j;3k;3l;3m;3n;3o;3p;3s;3t;3u;3v;3w;3x;3y;3z;3za;3zb;3zc;3zd;3ze;3zf;3zg;3zh;4a-q;4r;4t-zb;4zc;5a;5b;5c;5d;5e;5f;5g;5h;5i;5j;5k;5l;5m;5n;5o;5p;5q;5r;5s;5t;5u;5v;5w;5x;5y;5z;5za;5zb;5zc;5zd;6a;6b;6c;6d;6e;6f;6g;6h;6i;6j;6k;6l;6m;6n;6o;6p;6q;6r;6s;6t;6u;6v;7;8;9;Competitive C-C vs C=C K2CO3-Crude-1H;Competitive C-C vs C=C KOH-Crude-1H;Competitive</v>
      </c>
      <c r="H158" t="s">
        <v>1572</v>
      </c>
      <c r="I158" t="s">
        <v>2064</v>
      </c>
    </row>
    <row r="159" spans="1:30" ht="116" x14ac:dyDescent="0.35">
      <c r="A159" s="11" t="s">
        <v>2279</v>
      </c>
      <c r="C159" s="10" t="s">
        <v>1562</v>
      </c>
      <c r="D159" s="10">
        <f>VLOOKUP(C159,'OL-JOC - DOI details-from-figsh'!C:H,6,FALSE)</f>
        <v>104</v>
      </c>
      <c r="E159" s="11" t="s">
        <v>1709</v>
      </c>
      <c r="F159" s="11" t="str">
        <f t="shared" si="4"/>
        <v>1_triflates;R3147021.fid;R3806981.fid;R4500672.fid;R3853890.fid;R3888953.fid;R4155545.fid;R4497442.fid;R4497442_C13.fid;R4492711.fid;R4492711_C13.fid;R4497412.fid;R4497412_C13.fid;R4046391.fid;R4497402.fid;R4497402_C13.fid;R4127512.fid;R4094364.fid;R350067.fid;R3740420.fid;R4497372.fid;R4497372_C13.fid;R4496339.fid;R4496339_C13.fid;R1405704.fid;R1405704_C13.fid;R1405704_P31_H1.fid;R3821286.fid;comp05b_1324-938_cdcl3;R382</v>
      </c>
      <c r="G159" s="11" t="str">
        <f t="shared" si="5"/>
        <v>1_triflates;R3147021.fid;R3806981.fid;R4500672.fid;R3853890.fid;R3888953.fid;R4155545.fid;R4497442.fid;R4497442_C13.fid;R4492711.fid;R4492711_C13.fid;R4497412.fid;R4497412_C13.fid;R4046391.fid;R4497402.fid;R4497402_C13.fid;R4127512.fid;R4094364.fid;R350067.fid;R3740420.fid;R4497372.fid;R4497372_C13.fid;R4496339.fid;R4496339_C13.fid;R1405704.fid;R1405704_C13.fid;R1405704_P31_H1.fid;R3821286.fid;comp05b_1324-938_cdcl3;R382</v>
      </c>
      <c r="H159" t="s">
        <v>1574</v>
      </c>
      <c r="I159" t="s">
        <v>1575</v>
      </c>
      <c r="R159" s="9"/>
    </row>
    <row r="160" spans="1:30" ht="29" x14ac:dyDescent="0.35">
      <c r="B160" s="10">
        <v>1</v>
      </c>
      <c r="C160" s="10" t="s">
        <v>1563</v>
      </c>
      <c r="D160" s="10">
        <f>VLOOKUP(C160,'OL-JOC - DOI details-from-figsh'!C:H,6,FALSE)</f>
        <v>27</v>
      </c>
      <c r="E160" s="11" t="s">
        <v>1564</v>
      </c>
      <c r="F160" s="11" t="str">
        <f t="shared" si="4"/>
        <v/>
      </c>
      <c r="G160" s="11" t="str">
        <f t="shared" si="5"/>
        <v>2a;2b;2c;2d;5a;5b;5c;5d;5e;5f;5g;5h;5i;5j;5k;6a;6b;6c;6d;6e;6f;6g;6h;6i;6j;6k;7</v>
      </c>
      <c r="H160" t="s">
        <v>1576</v>
      </c>
      <c r="I160" t="s">
        <v>1577</v>
      </c>
    </row>
    <row r="161" spans="1:30" ht="58" x14ac:dyDescent="0.35">
      <c r="A161" s="11" t="s">
        <v>2238</v>
      </c>
      <c r="B161" s="10">
        <v>1</v>
      </c>
      <c r="C161" s="10" t="s">
        <v>1565</v>
      </c>
      <c r="D161" s="10">
        <f>VLOOKUP(C161,'OL-JOC - DOI details-from-figsh'!C:H,6,FALSE)</f>
        <v>24</v>
      </c>
      <c r="E161" s="11" t="s">
        <v>1710</v>
      </c>
      <c r="F161" s="11" t="str">
        <f t="shared" si="4"/>
        <v>10; 11; 12; 13; 14; 15; 16; 17; 18; 19; 20; 21; 22; 23; 24; 25; 26; 3; 32; 4; 5; 6; 7; S2</v>
      </c>
      <c r="G161" s="11" t="str">
        <f t="shared" si="5"/>
        <v>10; 11; 12; 13; 14; 15; 16; 17; 18; 19; 20; 21; 22; 23; 24; 25; 26; 3; 32; 4; 5; 6; 7; S2</v>
      </c>
      <c r="H161" t="s">
        <v>1578</v>
      </c>
      <c r="I161" t="s">
        <v>1579</v>
      </c>
      <c r="J161" t="s">
        <v>2066</v>
      </c>
      <c r="K161" t="s">
        <v>2067</v>
      </c>
      <c r="L161" t="s">
        <v>2068</v>
      </c>
      <c r="M161" t="s">
        <v>2069</v>
      </c>
      <c r="N161" t="s">
        <v>2070</v>
      </c>
      <c r="O161" t="s">
        <v>2071</v>
      </c>
      <c r="P161" t="s">
        <v>2072</v>
      </c>
      <c r="Q161" t="s">
        <v>2073</v>
      </c>
      <c r="R161" t="s">
        <v>2074</v>
      </c>
      <c r="S161" t="s">
        <v>1712</v>
      </c>
      <c r="T161" t="s">
        <v>2075</v>
      </c>
      <c r="U161" t="s">
        <v>2076</v>
      </c>
      <c r="V161" t="s">
        <v>2077</v>
      </c>
      <c r="W161" t="s">
        <v>2078</v>
      </c>
      <c r="X161" t="s">
        <v>2079</v>
      </c>
      <c r="Y161" t="s">
        <v>2080</v>
      </c>
      <c r="Z161" t="s">
        <v>2081</v>
      </c>
      <c r="AA161" t="s">
        <v>2082</v>
      </c>
      <c r="AB161" s="8">
        <v>46023</v>
      </c>
      <c r="AC161" t="s">
        <v>2083</v>
      </c>
      <c r="AD161" t="s">
        <v>2084</v>
      </c>
    </row>
    <row r="162" spans="1:30" ht="43.5" x14ac:dyDescent="0.35">
      <c r="B162" s="10">
        <v>1</v>
      </c>
      <c r="C162" s="10" t="s">
        <v>1566</v>
      </c>
      <c r="D162" s="10">
        <f>VLOOKUP(C162,'OL-JOC - DOI details-from-figsh'!C:H,6,FALSE)</f>
        <v>44</v>
      </c>
      <c r="E162" s="11" t="s">
        <v>1567</v>
      </c>
      <c r="F162" s="11" t="str">
        <f t="shared" si="4"/>
        <v/>
      </c>
      <c r="G162" s="11" t="str">
        <f t="shared" si="5"/>
        <v>4aa';4aa;4ab';4ab;4ac';4ac;4ad;4ae;4af;4ag;4ah;4ai;4aj;4ak;4al;4am;4an;4ao;4ap;4aq;4ar;4at;4au;4av;4aw;4ax;4ay;4az;4ba;4ca;4da;4ea;4fa;4ga;4ha;4ia+4ia';4ja+4ja';4ka';4ka;5;6;7;8;9</v>
      </c>
      <c r="H162" t="s">
        <v>1580</v>
      </c>
      <c r="I162" t="s">
        <v>2065</v>
      </c>
    </row>
    <row r="163" spans="1:30" ht="29" x14ac:dyDescent="0.35">
      <c r="B163" s="10">
        <v>1</v>
      </c>
      <c r="C163" s="10" t="s">
        <v>1568</v>
      </c>
      <c r="D163" s="10">
        <f>VLOOKUP(C163,'OL-JOC - DOI details-from-figsh'!C:H,6,FALSE)</f>
        <v>32</v>
      </c>
      <c r="E163" s="11" t="s">
        <v>1569</v>
      </c>
      <c r="F163" s="11" t="str">
        <f t="shared" si="4"/>
        <v/>
      </c>
      <c r="G163" s="11" t="str">
        <f t="shared" si="5"/>
        <v>2a;2aa;2ab;2ac;2b;2c;2d;2e;2f;2g;2h;2i+2i';2i';2i;2j;2k;2l;2m;2n;2o;2p;2q;2r;2s;2t;2u;2v;2w;2x;2y;2z;3</v>
      </c>
      <c r="H163" t="s">
        <v>1581</v>
      </c>
      <c r="I163" t="s">
        <v>1582</v>
      </c>
    </row>
    <row r="164" spans="1:30" ht="29" x14ac:dyDescent="0.35">
      <c r="A164" s="11" t="s">
        <v>2275</v>
      </c>
      <c r="C164" s="10" t="s">
        <v>1570</v>
      </c>
      <c r="D164" s="10">
        <f>VLOOKUP(C164,'OL-JOC - DOI details-from-figsh'!C:H,6,FALSE)</f>
        <v>18</v>
      </c>
      <c r="E164" s="11" t="s">
        <v>1571</v>
      </c>
      <c r="F164" s="11" t="str">
        <f t="shared" si="4"/>
        <v/>
      </c>
      <c r="G164" s="11" t="str">
        <f t="shared" si="5"/>
        <v>5a-13C;5a-19F;5a-1H;5b-13C;5b-19F;5b-1H;5c-13C;5c-19F;5c-1H;7a-13C;7a-19F;7a-1H;7b-13C;7b-19F;7b-1H;7c-13C;7c-19F;7c-1H</v>
      </c>
      <c r="H164" t="s">
        <v>1583</v>
      </c>
      <c r="I164" t="s">
        <v>1584</v>
      </c>
    </row>
    <row r="165" spans="1:30" ht="29" x14ac:dyDescent="0.35">
      <c r="A165" s="11" t="s">
        <v>2280</v>
      </c>
      <c r="B165" s="10" t="s">
        <v>1095</v>
      </c>
      <c r="C165" s="10" t="s">
        <v>1572</v>
      </c>
      <c r="D165" s="10" t="e">
        <f>VLOOKUP(C165,'OL-JOC - DOI details-from-figsh'!C:H,6,FALSE)</f>
        <v>#N/A</v>
      </c>
      <c r="E165" s="11" t="s">
        <v>1573</v>
      </c>
      <c r="F165" s="11" t="str">
        <f t="shared" si="4"/>
        <v>Mapping_predicted_Zn_ion;Model1_mixing_ratio_predictions;Model2_zinc_ion_contents_prediction;utils.py</v>
      </c>
      <c r="G165" s="11" t="str">
        <f t="shared" si="5"/>
        <v>Mapping_predicted_Zn_ion;Model1_mixing_ratio_predictions;Model2_zinc_ion_contents_prediction;utils.py</v>
      </c>
      <c r="H165" t="s">
        <v>1585</v>
      </c>
      <c r="I165" t="s">
        <v>2085</v>
      </c>
    </row>
    <row r="166" spans="1:30" ht="72.5" x14ac:dyDescent="0.35">
      <c r="A166" s="11" t="s">
        <v>2281</v>
      </c>
      <c r="C166" s="10" t="s">
        <v>1574</v>
      </c>
      <c r="D166" s="10">
        <f>VLOOKUP(C166,'OL-JOC - DOI details-from-figsh'!C:H,6,FALSE)</f>
        <v>22</v>
      </c>
      <c r="E166" s="11" t="s">
        <v>1575</v>
      </c>
      <c r="F166" s="11" t="str">
        <f t="shared" si="4"/>
        <v/>
      </c>
      <c r="G166" s="11" t="str">
        <f t="shared" si="5"/>
        <v>zds-20-66-3-C;3ba-zds-20-67-3;3ca-zds-20-72-3;3da-zds-20-68-3;3ea-zds-21-27-3;3fa-zds-21-28-3;3ga-zds-20-69-3;3ha-zds-21-29-3;3ia-zds-21-30-3;3ja-zds-20-70-3;3ka-zds-20-71-3;3la-zds-20-80-3;3ma-zds-20-75-3;3na-zds-20-76-3;3oa-zds-20-74-3;3pa-ZDS-20-82-3;3qa-ZDS-20-89-3;3ra-zds-20-77-3;4-zds-21-10-3;5-zds-21-9-2;6-zds-21-12-2</v>
      </c>
      <c r="H166" t="s">
        <v>1586</v>
      </c>
      <c r="I166" t="s">
        <v>2086</v>
      </c>
      <c r="J166" t="s">
        <v>2088</v>
      </c>
      <c r="K166">
        <v>50</v>
      </c>
      <c r="L166" t="s">
        <v>2089</v>
      </c>
      <c r="M166" t="s">
        <v>2090</v>
      </c>
      <c r="N166" t="s">
        <v>1629</v>
      </c>
      <c r="O166">
        <v>53</v>
      </c>
      <c r="P166" t="s">
        <v>2091</v>
      </c>
      <c r="Q166" t="s">
        <v>2092</v>
      </c>
      <c r="R166" t="s">
        <v>2093</v>
      </c>
      <c r="S166" t="s">
        <v>1304</v>
      </c>
      <c r="T166" t="s">
        <v>2094</v>
      </c>
      <c r="U166" t="s">
        <v>2095</v>
      </c>
      <c r="V166" t="s">
        <v>2096</v>
      </c>
      <c r="W166" t="s">
        <v>2097</v>
      </c>
      <c r="X166" t="s">
        <v>2098</v>
      </c>
      <c r="Y166" t="s">
        <v>2089</v>
      </c>
      <c r="Z166" t="s">
        <v>2099</v>
      </c>
      <c r="AA166" t="s">
        <v>2100</v>
      </c>
      <c r="AB166">
        <v>62</v>
      </c>
      <c r="AC166" t="s">
        <v>2101</v>
      </c>
      <c r="AD166" t="s">
        <v>2102</v>
      </c>
    </row>
    <row r="167" spans="1:30" ht="29" x14ac:dyDescent="0.35">
      <c r="B167" s="10">
        <v>1</v>
      </c>
      <c r="C167" s="10" t="s">
        <v>1576</v>
      </c>
      <c r="D167" s="10">
        <f>VLOOKUP(C167,'OL-JOC - DOI details-from-figsh'!C:H,6,FALSE)</f>
        <v>29</v>
      </c>
      <c r="E167" s="11" t="s">
        <v>1577</v>
      </c>
      <c r="F167" s="11" t="str">
        <f t="shared" si="4"/>
        <v/>
      </c>
      <c r="G167" s="11" t="str">
        <f t="shared" si="5"/>
        <v>3aa;3ab;3ac;3ad;3ae;3af;3ba;3bb;3bc;3bd;3be;3bf;3bg;3bh;3ca;3cb;3cc;3cd;3ce;3cf;3cg;3ch;3da;3db;3dc;3dd;6;7;9</v>
      </c>
      <c r="H167" t="s">
        <v>1588</v>
      </c>
      <c r="I167" t="s">
        <v>2087</v>
      </c>
      <c r="J167" t="s">
        <v>1717</v>
      </c>
      <c r="K167" t="s">
        <v>2104</v>
      </c>
      <c r="L167" t="s">
        <v>2105</v>
      </c>
      <c r="M167" t="s">
        <v>2106</v>
      </c>
      <c r="N167" t="s">
        <v>2107</v>
      </c>
      <c r="O167" t="s">
        <v>1648</v>
      </c>
      <c r="P167" t="s">
        <v>2108</v>
      </c>
      <c r="Q167" t="s">
        <v>2109</v>
      </c>
      <c r="R167" t="s">
        <v>2110</v>
      </c>
      <c r="S167" t="e" cm="1">
        <f t="array" ref="S167">-OR</f>
        <v>#NAME?</v>
      </c>
      <c r="T167" t="s">
        <v>2111</v>
      </c>
      <c r="U167" t="s">
        <v>2112</v>
      </c>
      <c r="V167" t="s">
        <v>2113</v>
      </c>
      <c r="W167" t="s">
        <v>2114</v>
      </c>
      <c r="X167" t="s">
        <v>2115</v>
      </c>
      <c r="Y167" t="s">
        <v>2116</v>
      </c>
      <c r="Z167" t="s">
        <v>2117</v>
      </c>
      <c r="AA167" t="s">
        <v>2118</v>
      </c>
      <c r="AB167" t="s">
        <v>1716</v>
      </c>
      <c r="AC167" t="s">
        <v>2119</v>
      </c>
      <c r="AD167" t="s">
        <v>2120</v>
      </c>
    </row>
    <row r="168" spans="1:30" ht="29" x14ac:dyDescent="0.35">
      <c r="B168" s="10">
        <v>1</v>
      </c>
      <c r="C168" s="10" t="s">
        <v>1578</v>
      </c>
      <c r="D168" s="10">
        <f>VLOOKUP(C168,'OL-JOC - DOI details-from-figsh'!C:H,6,FALSE)</f>
        <v>44</v>
      </c>
      <c r="E168" s="11" t="s">
        <v>1579</v>
      </c>
      <c r="F168" s="11" t="str">
        <f t="shared" si="4"/>
        <v/>
      </c>
      <c r="G168" s="11" t="str">
        <f t="shared" si="5"/>
        <v>2c;2f;2i;2j;3aa;3ab;3ac;3ad;3ae;3af;3ag;3aj;3al;3am;3an;3ao;3ba;3ca;3da;3ea;3fa;3ga;3ha;3ia;3ja;3ka;3la;3ma;3na;5;6;7;8;L1;L2;L3;L4;L6</v>
      </c>
      <c r="H168" t="s">
        <v>1589</v>
      </c>
      <c r="I168" t="s">
        <v>2103</v>
      </c>
      <c r="J168" t="s">
        <v>2122</v>
      </c>
      <c r="K168" t="s">
        <v>2123</v>
      </c>
      <c r="L168" t="s">
        <v>2124</v>
      </c>
      <c r="M168" t="s">
        <v>2125</v>
      </c>
      <c r="N168" t="s">
        <v>1305</v>
      </c>
      <c r="O168" t="s">
        <v>1643</v>
      </c>
      <c r="P168" t="s">
        <v>2126</v>
      </c>
      <c r="Q168" t="s">
        <v>2127</v>
      </c>
      <c r="R168" t="s">
        <v>2128</v>
      </c>
      <c r="S168" t="s">
        <v>1688</v>
      </c>
      <c r="T168" t="s">
        <v>2129</v>
      </c>
      <c r="U168" t="s">
        <v>2130</v>
      </c>
      <c r="V168" t="s">
        <v>2131</v>
      </c>
      <c r="W168" t="s">
        <v>2132</v>
      </c>
      <c r="X168" t="s">
        <v>2133</v>
      </c>
      <c r="Y168" t="s">
        <v>2134</v>
      </c>
      <c r="Z168" t="s">
        <v>2135</v>
      </c>
      <c r="AA168" t="s">
        <v>1653</v>
      </c>
      <c r="AB168" t="s">
        <v>1361</v>
      </c>
      <c r="AC168" t="s">
        <v>2136</v>
      </c>
      <c r="AD168" t="s">
        <v>2137</v>
      </c>
    </row>
    <row r="169" spans="1:30" ht="101.5" x14ac:dyDescent="0.35">
      <c r="A169" s="11" t="s">
        <v>2282</v>
      </c>
      <c r="C169" s="10" t="s">
        <v>1580</v>
      </c>
      <c r="D169" s="10">
        <f>VLOOKUP(C169,'OL-JOC - DOI details-from-figsh'!C:H,6,FALSE)</f>
        <v>106</v>
      </c>
      <c r="E169" s="11" t="s">
        <v>1711</v>
      </c>
      <c r="F169" s="11" t="str">
        <f t="shared" si="4"/>
        <v>11aa_(TJ-316-13C);11aa_(TJ-316-1H);11ba_(TJ-325-13C);11ba_(TJ-325-1H);11ma_(TJ-319-13C);11ma_(TJ-319-1H);11pa_(TJ-326-13C);11pa_(TJ-326-1H);12_(TJ-243-13C);12_(TJ-243-1H);13_(TJ-287-13C);13_(TJ-287-1H);14_(TJ-266-13C);14_(TJ-266-1H);15_(TJ-260-13C);15_(TJ-260-1H);3aa_(TJ-94-13C);3aa_(TJ-94-1H);3ab_(TJ-158-13C);3ab_(TJ-158-1H);3ac_(TJ-162-13C);3ac_(TJ-162-1H);3ba_(TJ-118-13C);3ba_(TJ-118-1H);3bb_(TJ-163-13C);3bb_(TJ-163-1</v>
      </c>
      <c r="G169" s="11" t="str">
        <f t="shared" si="5"/>
        <v>11aa_(TJ-316-13C);11aa_(TJ-316-1H);11ba_(TJ-325-13C);11ba_(TJ-325-1H);11ma_(TJ-319-13C);11ma_(TJ-319-1H);11pa_(TJ-326-13C);11pa_(TJ-326-1H);12_(TJ-243-13C);12_(TJ-243-1H);13_(TJ-287-13C);13_(TJ-287-1H);14_(TJ-266-13C);14_(TJ-266-1H);15_(TJ-260-13C);15_(TJ-260-1H);3aa_(TJ-94-13C);3aa_(TJ-94-1H);3ab_(TJ-158-13C);3ab_(TJ-158-1H);3ac_(TJ-162-13C);3ac_(TJ-162-1H);3ba_(TJ-118-13C);3ba_(TJ-118-1H);3bb_(TJ-163-13C);3bb_(TJ-163-1</v>
      </c>
      <c r="H169" t="s">
        <v>1590</v>
      </c>
      <c r="I169" t="s">
        <v>2121</v>
      </c>
    </row>
    <row r="170" spans="1:30" ht="72.5" x14ac:dyDescent="0.35">
      <c r="B170" s="10">
        <v>1</v>
      </c>
      <c r="C170" s="10" t="s">
        <v>1581</v>
      </c>
      <c r="D170" s="10">
        <f>VLOOKUP(C170,'OL-JOC - DOI details-from-figsh'!C:H,6,FALSE)</f>
        <v>101</v>
      </c>
      <c r="E170" s="11" t="s">
        <v>1582</v>
      </c>
      <c r="F170" s="11" t="str">
        <f t="shared" si="4"/>
        <v/>
      </c>
      <c r="G170" s="11" t="str">
        <f t="shared" si="5"/>
        <v>1a';1a;1b;1c;1d;1e;1f;1g;1h;1i;1j;1k;1l;1m;2aa;2ab;2ad;2ae;2af;2ag;2ah;2ai;2aj;2ak;2al;2b;2c;2d;2e;2f;2h;2i;2j;2k;2l;2m;2n;2o;2p;2q;2r;2s;2t;2u;2v;2w;2x;2y;2z;3a;3b;3c;3d;3e;3f;3g;3h;3i;3j;3k;3l;3m;4a;4aa;4ab;4ac;4ad;4ae;4b;4c;4d;4e;4f;4g;4h;4i;4j;4k;4l;4m;4n;4o;4p;4q;4r;4s;4t;4u;4v;4w;4x;4y;4z;5a;5b;5c';5c;5d;5e;6a;7a</v>
      </c>
      <c r="H170" t="s">
        <v>1591</v>
      </c>
      <c r="I170" t="s">
        <v>1592</v>
      </c>
    </row>
    <row r="171" spans="1:30" ht="43.5" x14ac:dyDescent="0.35">
      <c r="B171" s="10">
        <v>1</v>
      </c>
      <c r="C171" s="10" t="s">
        <v>1583</v>
      </c>
      <c r="D171" s="10">
        <f>VLOOKUP(C171,'OL-JOC - DOI details-from-figsh'!C:H,6,FALSE)</f>
        <v>56</v>
      </c>
      <c r="E171" s="11" t="s">
        <v>1584</v>
      </c>
      <c r="F171" s="11" t="str">
        <f t="shared" si="4"/>
        <v/>
      </c>
      <c r="G171" s="11" t="str">
        <f t="shared" si="5"/>
        <v>1a;1b;1c;1d;1e;1f;1g;1h;1i;3a;3b;3c;3d;3e;3f;3g;3h;3i;3j;3k;3l;3m;3n;3o;3p;3q;3r;3s;3t;3u;3v;3w;3x;3y;3z;3za;3zb;3zc;3zd;3ze;3zf;3zg;3zh';3zh;3zi';3zi;4a;4b;4c;4d;4e;4f;4g;4h;4i;6</v>
      </c>
      <c r="H171" t="s">
        <v>1593</v>
      </c>
      <c r="I171" t="s">
        <v>1594</v>
      </c>
      <c r="J171" s="11" t="s">
        <v>2264</v>
      </c>
    </row>
    <row r="172" spans="1:30" ht="29" x14ac:dyDescent="0.35">
      <c r="A172" s="11" t="s">
        <v>2284</v>
      </c>
      <c r="B172" s="10" t="s">
        <v>1095</v>
      </c>
      <c r="C172" s="10" t="s">
        <v>1585</v>
      </c>
      <c r="D172" s="10" t="e">
        <f>VLOOKUP(C172,'OL-JOC - DOI details-from-figsh'!C:H,6,FALSE)</f>
        <v>#N/A</v>
      </c>
      <c r="E172" s="11" t="s">
        <v>1713</v>
      </c>
      <c r="F172" s="11" t="str">
        <f t="shared" si="4"/>
        <v>2_NMR-opt.pdb; 4_NMR-opt.pdb; 8_NMR-opt.pdb; 9_NMR-opt.pdb</v>
      </c>
      <c r="G172" s="11" t="str">
        <f t="shared" si="5"/>
        <v>2_NMR-opt.pdb; 4_NMR-opt.pdb; 8_NMR-opt.pdb; 9_NMR-opt.pdb</v>
      </c>
      <c r="H172" t="s">
        <v>1595</v>
      </c>
      <c r="I172" t="s">
        <v>1596</v>
      </c>
      <c r="J172" s="11" t="s">
        <v>2264</v>
      </c>
    </row>
    <row r="173" spans="1:30" ht="43.5" x14ac:dyDescent="0.35">
      <c r="A173" s="11" t="s">
        <v>2253</v>
      </c>
      <c r="B173" s="10" t="s">
        <v>1095</v>
      </c>
      <c r="C173" s="10" t="s">
        <v>1586</v>
      </c>
      <c r="D173" s="10" t="e">
        <f>VLOOKUP(C173,'OL-JOC - DOI details-from-figsh'!C:H,6,FALSE)</f>
        <v>#N/A</v>
      </c>
      <c r="E173" s="11" t="s">
        <v>1587</v>
      </c>
      <c r="F173" s="11" t="str">
        <f t="shared" si="4"/>
        <v>benzoyl-radical;cyclobutyl-alkene;cyclobutyl-product-radical;cyclobutyl-ts;dimethyl-alkene;dimethyl-product-radical;dimethyl-ts</v>
      </c>
      <c r="G173" s="11" t="str">
        <f t="shared" si="5"/>
        <v>benzoyl-radical;cyclobutyl-alkene;cyclobutyl-product-radical;cyclobutyl-ts;dimethyl-alkene;dimethyl-product-radical;dimethyl-ts</v>
      </c>
      <c r="H173" t="s">
        <v>1597</v>
      </c>
      <c r="I173" t="s">
        <v>1598</v>
      </c>
      <c r="J173" s="11" t="s">
        <v>2264</v>
      </c>
    </row>
    <row r="174" spans="1:30" ht="116" x14ac:dyDescent="0.35">
      <c r="A174" s="11" t="s">
        <v>2283</v>
      </c>
      <c r="C174" s="10" t="s">
        <v>1588</v>
      </c>
      <c r="D174" s="10">
        <f>VLOOKUP(C174,'OL-JOC - DOI details-from-figsh'!C:H,6,FALSE)</f>
        <v>0</v>
      </c>
      <c r="E174" s="11" t="s">
        <v>1714</v>
      </c>
      <c r="F174" s="11" t="str">
        <f t="shared" si="4"/>
        <v>10 (13C); 11 (13C); 12 (13C); 13 (13C); 14 (13C); 15 (13C); 16 (13C); 17 (13C); 18 (13C); 19 (13C); 20 (13C); 21 (13C); 22 (13C); 23 (13C); 24 (13C); 25 (13C); 26 (13C); 27 (13C); 28 (13C); 29 (13C); 3 (13C); 30 (13C); 31 (13C); 32 (13C); 33 (13C); 34 (13C); 35 (13C); 36 (13C); 37 (13C); 38 (13C); 39 (13C); 4 (13C); 40 (13C); 41 (13C); 42 (13C); 43 (13C); 44 (13C); 45 (13C); 46 (13C); 47 (13C); 48 (13C); 49 (13C); 5 (13</v>
      </c>
      <c r="G174" s="11" t="str">
        <f t="shared" si="5"/>
        <v>10 (13C); 11 (13C); 12 (13C); 13 (13C); 14 (13C); 15 (13C); 16 (13C); 17 (13C); 18 (13C); 19 (13C); 20 (13C); 21 (13C); 22 (13C); 23 (13C); 24 (13C); 25 (13C); 26 (13C); 27 (13C); 28 (13C); 29 (13C); 3 (13C); 30 (13C); 31 (13C); 32 (13C); 33 (13C); 34 (13C); 35 (13C); 36 (13C); 37 (13C); 38 (13C); 39 (13C); 4 (13C); 40 (13C); 41 (13C); 42 (13C); 43 (13C); 44 (13C); 45 (13C); 46 (13C); 47 (13C); 48 (13C); 49 (13C); 5 (13</v>
      </c>
      <c r="H174" t="s">
        <v>1599</v>
      </c>
      <c r="I174" t="s">
        <v>2138</v>
      </c>
      <c r="J174" s="11" t="s">
        <v>2264</v>
      </c>
    </row>
    <row r="175" spans="1:30" ht="101.5" x14ac:dyDescent="0.35">
      <c r="A175" s="11" t="s">
        <v>2297</v>
      </c>
      <c r="B175" s="10" t="s">
        <v>1095</v>
      </c>
      <c r="C175" s="10" t="s">
        <v>1589</v>
      </c>
      <c r="D175" s="10" t="e">
        <f>VLOOKUP(C175,'OL-JOC - DOI details-from-figsh'!C:H,6,FALSE)</f>
        <v>#N/A</v>
      </c>
      <c r="E175" s="11" t="s">
        <v>1715</v>
      </c>
      <c r="F175" s="11" t="str">
        <f t="shared" si="4"/>
        <v>6a-CRI.fchk;6a-CRI.log;6b-CRI.fchk;6b-CRI.log;6c-CRI.fchk;6c-CRI.log;6d-CRI.fchk;6d-CRI.log;6e-CRI.fchk;6e-CRI.log;6f-CRI.fchk;6f-CRI.log;6g-CRI.fchk;6g-CRI.log;6h-CRI.fchk;6h-CRI.log;6i-CRI.fchk;6i-CRI.log;6j-CRI.fchk;6j-CRI.log;6k-CRI.fchk;6k-CRI.log;6l-CRI.fchk;6l-CRI.log;6m-CRI.fchk;6m-CRI.log;6n-CRI.fchk;6n-CRI.log;6o-CRI.fchk;6o-CRI.log;6p-CRI.fchk;6p-CRI.log;6a-ORI.fchk;6a-ORI.log;6b-ORI.fchk;6b-ORI.log;6c-ORI.fch</v>
      </c>
      <c r="G175" s="11" t="str">
        <f t="shared" si="5"/>
        <v>6a-CRI.fchk;6a-CRI.log;6b-CRI.fchk;6b-CRI.log;6c-CRI.fchk;6c-CRI.log;6d-CRI.fchk;6d-CRI.log;6e-CRI.fchk;6e-CRI.log;6f-CRI.fchk;6f-CRI.log;6g-CRI.fchk;6g-CRI.log;6h-CRI.fchk;6h-CRI.log;6i-CRI.fchk;6i-CRI.log;6j-CRI.fchk;6j-CRI.log;6k-CRI.fchk;6k-CRI.log;6l-CRI.fchk;6l-CRI.log;6m-CRI.fchk;6m-CRI.log;6n-CRI.fchk;6n-CRI.log;6o-CRI.fchk;6o-CRI.log;6p-CRI.fchk;6p-CRI.log;6a-ORI.fchk;6a-ORI.log;6b-ORI.fchk;6b-ORI.log;6c-ORI.fch</v>
      </c>
      <c r="H175" t="s">
        <v>1600</v>
      </c>
      <c r="I175" t="s">
        <v>1601</v>
      </c>
      <c r="J175" s="11" t="s">
        <v>2264</v>
      </c>
    </row>
    <row r="176" spans="1:30" ht="116" x14ac:dyDescent="0.35">
      <c r="C176" s="10" t="s">
        <v>1590</v>
      </c>
      <c r="D176" s="10">
        <f>VLOOKUP(C176,'OL-JOC - DOI details-from-figsh'!C:H,6,FALSE)</f>
        <v>69</v>
      </c>
      <c r="E176" s="11" t="s">
        <v>1718</v>
      </c>
      <c r="F176" s="11" t="str">
        <f t="shared" si="4"/>
        <v>13C NMR-3aa;13C NMR-3ab;13C NMR-3ac;13C NMR-3ad;13C NMR-3ae;13C NMR-3af;13C NMR-3ag;13C NMR-3ah;13C NMR-3ai;13C NMR-3aj;13C NMR-3ak;13C NMR-3al;13C NMR-3ba;13C NMR-3ca;13C NMR-3da;13C NMR-3ea;13C NMR-3fa;13C NMR-3ga;13C NMR-3ha;13C NMR-3ia;13C NMR-3ja;13C NMR-3ka;13C NMR-3la;13C NMR-3ma;13C NMR-3na;13C NMR-3oa;13C NMR-3pa;13C NMR-3qa;13C NMR-3ra;13C NMR-3sa;13C NMR-4;13C NMR-5;13C NMR-6;13C NMR-7;19F NMR-3ia;1H NMR-3aa;1</v>
      </c>
      <c r="G176" s="11" t="str">
        <f t="shared" si="5"/>
        <v>13C NMR-3aa;13C NMR-3ab;13C NMR-3ac;13C NMR-3ad;13C NMR-3ae;13C NMR-3af;13C NMR-3ag;13C NMR-3ah;13C NMR-3ai;13C NMR-3aj;13C NMR-3ak;13C NMR-3al;13C NMR-3ba;13C NMR-3ca;13C NMR-3da;13C NMR-3ea;13C NMR-3fa;13C NMR-3ga;13C NMR-3ha;13C NMR-3ia;13C NMR-3ja;13C NMR-3ka;13C NMR-3la;13C NMR-3ma;13C NMR-3na;13C NMR-3oa;13C NMR-3pa;13C NMR-3qa;13C NMR-3ra;13C NMR-3sa;13C NMR-4;13C NMR-5;13C NMR-6;13C NMR-7;19F NMR-3ia;1H NMR-3aa;1</v>
      </c>
      <c r="H176" t="s">
        <v>1602</v>
      </c>
      <c r="I176" t="s">
        <v>1603</v>
      </c>
      <c r="J176" t="s">
        <v>1399</v>
      </c>
      <c r="K176" t="s">
        <v>2140</v>
      </c>
      <c r="L176" t="s">
        <v>2141</v>
      </c>
      <c r="M176" t="s">
        <v>2142</v>
      </c>
      <c r="N176" t="s">
        <v>2143</v>
      </c>
      <c r="O176" t="s">
        <v>2144</v>
      </c>
      <c r="P176" t="s">
        <v>2145</v>
      </c>
      <c r="Q176" t="s">
        <v>2146</v>
      </c>
      <c r="R176" t="s">
        <v>2147</v>
      </c>
      <c r="S176" t="s">
        <v>2148</v>
      </c>
      <c r="T176" t="s">
        <v>2149</v>
      </c>
      <c r="U176" t="s">
        <v>2150</v>
      </c>
      <c r="V176" t="s">
        <v>2151</v>
      </c>
      <c r="W176" t="s">
        <v>2152</v>
      </c>
      <c r="X176" t="s">
        <v>2153</v>
      </c>
      <c r="Y176" t="s">
        <v>2154</v>
      </c>
      <c r="Z176" t="s">
        <v>2155</v>
      </c>
      <c r="AA176" t="s">
        <v>2156</v>
      </c>
      <c r="AB176" t="s">
        <v>2157</v>
      </c>
      <c r="AC176" t="s">
        <v>2158</v>
      </c>
      <c r="AD176" t="s">
        <v>2159</v>
      </c>
    </row>
    <row r="177" spans="1:30" ht="29" x14ac:dyDescent="0.35">
      <c r="C177" s="10" t="s">
        <v>1591</v>
      </c>
      <c r="D177" s="10">
        <f>VLOOKUP(C177,'OL-JOC - DOI details-from-figsh'!C:H,6,FALSE)</f>
        <v>1</v>
      </c>
      <c r="E177" s="11" t="s">
        <v>1592</v>
      </c>
      <c r="F177" s="11" t="str">
        <f t="shared" si="4"/>
        <v/>
      </c>
      <c r="G177" s="11" t="str">
        <f t="shared" si="5"/>
        <v>HRMS;3aa;3ab;3ac;3ad;3ae;3af;3ag;3ah;3ai;3aj;3ak;3al;3am;3an;3ao;3ap;3ba;3ca;3da;3ea;3fa;3ga;3ha;3ia;3ja;3ka;3ku;3la;3ma;4;5;6</v>
      </c>
      <c r="H177" t="s">
        <v>1604</v>
      </c>
      <c r="I177" t="s">
        <v>2139</v>
      </c>
    </row>
    <row r="178" spans="1:30" ht="58" x14ac:dyDescent="0.35">
      <c r="C178" s="10" t="s">
        <v>1593</v>
      </c>
      <c r="D178" s="10">
        <f>VLOOKUP(C178,'OL-JOC - DOI details-from-figsh'!C:H,6,FALSE)</f>
        <v>66</v>
      </c>
      <c r="E178" s="11" t="s">
        <v>1594</v>
      </c>
      <c r="F178" s="11" t="str">
        <f t="shared" si="4"/>
        <v/>
      </c>
      <c r="G178" s="11" t="str">
        <f t="shared" si="5"/>
        <v>1a;1b;1c;1d;1e;1f;1g;1h;1i;1j;1k;1l;1m;1n;1o;1p;1q;1r;1s;1t;1u;1v;1w;1x;1y;2b;2c;2d;2e;2f;3a-[H];3a;3b;3c;3d;3e;3f;3g;3h;3i;3j;3k;3l;3m;3n;3o;3p;3q;3r;3s;3t;3u;3v;3w;3x;3y;3z;3za;3zb;3zc;3zd;4a;4b;5a;5b;5c</v>
      </c>
      <c r="H178" t="s">
        <v>1605</v>
      </c>
      <c r="I178" t="s">
        <v>1606</v>
      </c>
    </row>
    <row r="179" spans="1:30" ht="43.5" x14ac:dyDescent="0.35">
      <c r="C179" s="10" t="s">
        <v>1595</v>
      </c>
      <c r="D179" s="10">
        <f>VLOOKUP(C179,'OL-JOC - DOI details-from-figsh'!C:H,6,FALSE)</f>
        <v>7</v>
      </c>
      <c r="E179" s="11" t="s">
        <v>1596</v>
      </c>
      <c r="F179" s="11" t="str">
        <f t="shared" si="4"/>
        <v/>
      </c>
      <c r="G179" s="11" t="str">
        <f t="shared" si="5"/>
        <v>compound1b_13C;compound1b_1H;compound2b_13C;compound2b_1H;13C.rm1;ãƒ”ãƒ¼ã‚¯ãƒªã‚¹ãƒˆ.txt;compound42+_1H;spectrometer.txt</v>
      </c>
      <c r="H179" t="s">
        <v>1607</v>
      </c>
      <c r="I179" t="s">
        <v>1721</v>
      </c>
    </row>
    <row r="180" spans="1:30" ht="43.5" x14ac:dyDescent="0.35">
      <c r="C180" s="10" t="s">
        <v>1597</v>
      </c>
      <c r="D180" s="10">
        <f>VLOOKUP(C180,'OL-JOC - DOI details-from-figsh'!C:H,6,FALSE)</f>
        <v>49</v>
      </c>
      <c r="E180" s="11" t="s">
        <v>1598</v>
      </c>
      <c r="F180" s="11" t="str">
        <f t="shared" si="4"/>
        <v/>
      </c>
      <c r="G180" s="11" t="str">
        <f t="shared" si="5"/>
        <v>3a;3b;3c;3d;3e;3f;3g;3h;3i;3j;3k;3l;3m;3n;3o;3p;3q;3r;3s;3t;4a;4b;4c;4d;4e;4f;4g;4h;4i;4j;4k;4l;4m;4n;4o;4p;4q;4r;4s;4t;4u;4v;4w;4x;4y;4z;4za;5;Rh-1a</v>
      </c>
      <c r="H180" t="s">
        <v>1608</v>
      </c>
      <c r="I180" t="s">
        <v>1722</v>
      </c>
      <c r="J180" t="s">
        <v>2161</v>
      </c>
      <c r="K180" t="s">
        <v>1306</v>
      </c>
      <c r="L180" t="s">
        <v>1308</v>
      </c>
      <c r="M180" t="s">
        <v>1370</v>
      </c>
      <c r="N180" t="s">
        <v>1724</v>
      </c>
      <c r="O180" t="s">
        <v>2162</v>
      </c>
      <c r="P180" t="s">
        <v>2163</v>
      </c>
      <c r="Q180" t="s">
        <v>2164</v>
      </c>
      <c r="R180" t="s">
        <v>2165</v>
      </c>
      <c r="S180" t="s">
        <v>1724</v>
      </c>
      <c r="T180" t="s">
        <v>1725</v>
      </c>
      <c r="U180" t="s">
        <v>2166</v>
      </c>
      <c r="V180" t="s">
        <v>2167</v>
      </c>
      <c r="W180" t="s">
        <v>2168</v>
      </c>
      <c r="X180" t="s">
        <v>2169</v>
      </c>
      <c r="Y180" t="s">
        <v>2170</v>
      </c>
      <c r="Z180" t="s">
        <v>2171</v>
      </c>
      <c r="AA180" t="s">
        <v>1725</v>
      </c>
      <c r="AB180" t="s">
        <v>2172</v>
      </c>
      <c r="AC180" t="s">
        <v>2173</v>
      </c>
      <c r="AD180" t="s">
        <v>2174</v>
      </c>
    </row>
    <row r="181" spans="1:30" ht="29" x14ac:dyDescent="0.35">
      <c r="C181" s="10" t="s">
        <v>1599</v>
      </c>
      <c r="D181" s="10">
        <f>VLOOKUP(C181,'OL-JOC - DOI details-from-figsh'!C:H,6,FALSE)</f>
        <v>47</v>
      </c>
      <c r="E181" s="11" t="s">
        <v>1719</v>
      </c>
      <c r="F181" s="11" t="str">
        <f t="shared" si="4"/>
        <v>2 n;2 t;2 u;2 v;2 z; a; b; c; d; e; f; g; h; i; j; k; l; m; n; o; p; q; r; s; t; u; v; w; x; y; z;aa;ab;ac;ad;ae;af;ag;ah;ai;aj;ak;al;am;an;ao;ap</v>
      </c>
      <c r="G181" s="11" t="str">
        <f t="shared" si="5"/>
        <v>2 n;2 t;2 u;2 v;2 z; a; b; c; d; e; f; g; h; i; j; k; l; m; n; o; p; q; r; s; t; u; v; w; x; y; z;aa;ab;ac;ad;ae;af;ag;ah;ai;aj;ak;al;am;an;ao;ap</v>
      </c>
      <c r="H181" t="s">
        <v>1609</v>
      </c>
      <c r="I181" t="s">
        <v>2160</v>
      </c>
      <c r="J181">
        <v>250</v>
      </c>
      <c r="K181">
        <v>301</v>
      </c>
      <c r="L181" t="s">
        <v>2176</v>
      </c>
      <c r="M181" t="s">
        <v>2177</v>
      </c>
      <c r="N181" t="s">
        <v>2178</v>
      </c>
      <c r="O181" t="e" cm="1">
        <f t="array" ref="O181">-P</f>
        <v>#NAME?</v>
      </c>
      <c r="P181" t="s">
        <v>2179</v>
      </c>
      <c r="Q181" t="s">
        <v>2180</v>
      </c>
      <c r="R181" t="s">
        <v>2181</v>
      </c>
      <c r="S181">
        <v>30</v>
      </c>
      <c r="T181" t="s">
        <v>2182</v>
      </c>
      <c r="U181" t="s">
        <v>2183</v>
      </c>
      <c r="V181" t="s">
        <v>2184</v>
      </c>
      <c r="W181" t="s">
        <v>2185</v>
      </c>
      <c r="X181" t="s">
        <v>2186</v>
      </c>
      <c r="Y181" t="s">
        <v>2187</v>
      </c>
      <c r="Z181" t="s">
        <v>2188</v>
      </c>
      <c r="AA181">
        <v>250</v>
      </c>
      <c r="AB181">
        <v>301</v>
      </c>
      <c r="AC181" t="s">
        <v>2189</v>
      </c>
      <c r="AD181" t="s">
        <v>2190</v>
      </c>
    </row>
    <row r="182" spans="1:30" ht="43.5" x14ac:dyDescent="0.35">
      <c r="C182" s="10" t="s">
        <v>1600</v>
      </c>
      <c r="D182" s="10">
        <f>VLOOKUP(C182,'OL-JOC - DOI details-from-figsh'!C:H,6,FALSE)</f>
        <v>54</v>
      </c>
      <c r="E182" s="11" t="s">
        <v>1601</v>
      </c>
      <c r="F182" s="11" t="str">
        <f t="shared" si="4"/>
        <v/>
      </c>
      <c r="G182" s="11" t="str">
        <f t="shared" si="5"/>
        <v>2a;2b;2c;2d;2e;2f;2g;2h;2i;2j;2k;2l;2m;2n;5a;5b;5c';5c;5d;5e;5f;5g';5g;5h;5i;5j;5k;5l;5m;5n;5o;5p;5q;5r;5s;5t;6f;6q;7a;7b;7c;7d;7e;7f;7g;8a;8b;ent-5g;ent-5l;ent-5q;ent-6q;epi-7e;rac-6f;rac-6q</v>
      </c>
      <c r="H182" t="s">
        <v>1610</v>
      </c>
      <c r="I182" t="s">
        <v>2175</v>
      </c>
      <c r="J182" t="s">
        <v>2192</v>
      </c>
      <c r="K182">
        <v>483</v>
      </c>
      <c r="L182" t="s">
        <v>2193</v>
      </c>
      <c r="M182" t="s">
        <v>2194</v>
      </c>
      <c r="N182" t="s">
        <v>2195</v>
      </c>
      <c r="O182" t="s">
        <v>2196</v>
      </c>
      <c r="P182" t="s">
        <v>2197</v>
      </c>
      <c r="Q182" t="s">
        <v>2198</v>
      </c>
      <c r="R182" t="s">
        <v>2199</v>
      </c>
      <c r="S182" t="s">
        <v>2200</v>
      </c>
      <c r="T182" t="s">
        <v>2201</v>
      </c>
      <c r="U182" t="s">
        <v>2202</v>
      </c>
      <c r="V182" t="s">
        <v>2203</v>
      </c>
      <c r="W182" t="s">
        <v>2204</v>
      </c>
      <c r="X182" t="s">
        <v>2205</v>
      </c>
      <c r="Y182" t="s">
        <v>2206</v>
      </c>
      <c r="Z182" t="s">
        <v>2207</v>
      </c>
      <c r="AA182" t="s">
        <v>2208</v>
      </c>
      <c r="AB182" t="s">
        <v>2209</v>
      </c>
      <c r="AC182" t="s">
        <v>2210</v>
      </c>
      <c r="AD182" t="s">
        <v>2211</v>
      </c>
    </row>
    <row r="183" spans="1:30" ht="58" x14ac:dyDescent="0.35">
      <c r="C183" s="10" t="s">
        <v>1602</v>
      </c>
      <c r="D183" s="10">
        <f>VLOOKUP(C183,'OL-JOC - DOI details-from-figsh'!C:H,6,FALSE)</f>
        <v>60</v>
      </c>
      <c r="E183" s="11" t="s">
        <v>1603</v>
      </c>
      <c r="F183" s="11" t="str">
        <f t="shared" si="4"/>
        <v/>
      </c>
      <c r="G183" s="11" t="str">
        <f t="shared" si="5"/>
        <v>3a;3aa;3aaa;3aab;3aac;3aad;3aae;3aaf;3aag;3aah;3ab;3ac;3ad;3ae;3af;3ag;3ah;3ai;3aj;3ak;3al;3am;3an;3ao;3ap;3aq;3ar;3as;3at;3au;3aw;3ax;3ay;3az;3b;3c;3d;3e;3f;3g;3h;3i;3j;3k;3l;3m;3n;3o;3p;3q;3r;3s;3t;3u;3v;3w;3x;3y;3z;4;5</v>
      </c>
      <c r="H183" t="s">
        <v>1611</v>
      </c>
      <c r="I183" t="s">
        <v>2191</v>
      </c>
    </row>
    <row r="184" spans="1:30" ht="101.5" x14ac:dyDescent="0.35">
      <c r="C184" s="10" t="s">
        <v>1604</v>
      </c>
      <c r="D184" s="10">
        <f>VLOOKUP(C184,'OL-JOC - DOI details-from-figsh'!C:H,6,FALSE)</f>
        <v>186</v>
      </c>
      <c r="E184" s="11" t="s">
        <v>1720</v>
      </c>
      <c r="F184" s="11" t="str">
        <f t="shared" si="4"/>
        <v>1H NMR, 13C NMR and 19F NMR Spectra.mnova;4a-C;4a-H;4b-C;4b-H;4c-C;4c-H;4d-C;4d-H;4e-C;4e-H;4f-C;4f-H;4g-C;4g-H;4h-C;4h-H;4i-C;4i-H;4j-C;4j-F;4j-H;4k-C;4k-F;4k-H;4l-C;4l-F;4l-H;4m-C;4m-H;4n-C;4n-H;4o-C;4o-H;4p-C;4p-H;4q-C;4q-H;4r-C;4r-H;4s-C;4s-H;4t-C;4t-H;4u-C;4u-H;5a-C;5a-H;5aa-C;5aa-H;5ab-C;5ab-H;5ac-C;5ac-H;5ad-C;5ad-H;5ae-H;5b-C;5b-H;5c-C;5c-H;5d-C;5d-H;5e-C;5e-H;5f-C;5f-H;5g-C;5g-H;5h-C;5h-F;5h-H;5i-C;5i-F;5i-H;5j-</v>
      </c>
      <c r="G184" s="11" t="str">
        <f t="shared" si="5"/>
        <v>1H NMR, 13C NMR and 19F NMR Spectra.mnova;4a-C;4a-H;4b-C;4b-H;4c-C;4c-H;4d-C;4d-H;4e-C;4e-H;4f-C;4f-H;4g-C;4g-H;4h-C;4h-H;4i-C;4i-H;4j-C;4j-F;4j-H;4k-C;4k-F;4k-H;4l-C;4l-F;4l-H;4m-C;4m-H;4n-C;4n-H;4o-C;4o-H;4p-C;4p-H;4q-C;4q-H;4r-C;4r-H;4s-C;4s-H;4t-C;4t-H;4u-C;4u-H;5a-C;5a-H;5aa-C;5aa-H;5ab-C;5ab-H;5ac-C;5ac-H;5ad-C;5ad-H;5ae-H;5b-C;5b-H;5c-C;5c-H;5d-C;5d-H;5e-C;5e-H;5f-C;5f-H;5g-C;5g-H;5h-C;5h-F;5h-H;5i-C;5i-F;5i-H;5j-</v>
      </c>
      <c r="H184" t="s">
        <v>1612</v>
      </c>
      <c r="I184" t="s">
        <v>1728</v>
      </c>
      <c r="J184" t="s">
        <v>2213</v>
      </c>
      <c r="K184" t="s">
        <v>2214</v>
      </c>
      <c r="L184" t="s">
        <v>2215</v>
      </c>
      <c r="M184" t="s">
        <v>2216</v>
      </c>
      <c r="N184" t="s">
        <v>2217</v>
      </c>
      <c r="O184">
        <v>8</v>
      </c>
      <c r="P184" t="s">
        <v>1838</v>
      </c>
      <c r="Q184" t="s">
        <v>2218</v>
      </c>
      <c r="R184" t="s">
        <v>2219</v>
      </c>
      <c r="S184">
        <v>29</v>
      </c>
      <c r="T184" t="s">
        <v>2220</v>
      </c>
      <c r="U184" t="s">
        <v>2221</v>
      </c>
      <c r="V184" t="s">
        <v>2222</v>
      </c>
      <c r="W184" t="s">
        <v>2223</v>
      </c>
      <c r="X184" t="s">
        <v>2224</v>
      </c>
      <c r="Y184" t="s">
        <v>2225</v>
      </c>
      <c r="Z184" t="s">
        <v>2226</v>
      </c>
      <c r="AA184" t="s">
        <v>2214</v>
      </c>
      <c r="AB184" t="s">
        <v>2227</v>
      </c>
      <c r="AC184" t="s">
        <v>2228</v>
      </c>
      <c r="AD184" t="s">
        <v>2229</v>
      </c>
    </row>
    <row r="185" spans="1:30" ht="29" x14ac:dyDescent="0.35">
      <c r="C185" s="10" t="s">
        <v>1605</v>
      </c>
      <c r="D185" s="10">
        <f>VLOOKUP(C185,'OL-JOC - DOI details-from-figsh'!C:H,6,FALSE)</f>
        <v>27</v>
      </c>
      <c r="E185" s="11" t="s">
        <v>1606</v>
      </c>
      <c r="F185" s="11" t="str">
        <f t="shared" si="4"/>
        <v/>
      </c>
      <c r="G185" s="11" t="str">
        <f t="shared" si="5"/>
        <v>3a;4a;4b;4c;4d;4e;4f;4g;4h;4i;4j;4k;4l;4m;4n;4o;4p;4q;4r;4s;5a;5b;5c;5d;5e;5f;6</v>
      </c>
      <c r="H185" t="s">
        <v>1613</v>
      </c>
      <c r="I185" t="s">
        <v>2212</v>
      </c>
    </row>
    <row r="186" spans="1:30" ht="72.5" x14ac:dyDescent="0.35">
      <c r="C186" s="10" t="s">
        <v>1607</v>
      </c>
      <c r="D186" s="10" t="e">
        <f>VLOOKUP(C186,'OL-JOC - DOI details-from-figsh'!C:H,6,FALSE)</f>
        <v>#N/A</v>
      </c>
      <c r="E186" s="11" t="s">
        <v>1721</v>
      </c>
      <c r="F186" s="11" t="str">
        <f t="shared" si="4"/>
        <v/>
      </c>
      <c r="G186" s="11" t="str">
        <f t="shared" si="5"/>
        <v>5-(3-ethyl-4-methoxyphenyl)-2-methylpentan-2-ol;5-(4-methoxyphenyl)-2-methylpentan-2-ol;7-methoxy-1,1-dimethyl-1,2,3,4-tetrahydronaphthalene;III;IV;IX;VII;VIII;XI;XII;XIV;XVII;ethyl 4-(3-ethyl-4-methoxyphenyl)butanoate;ethyl 4-(4-methoxyphenyl)butanoate</v>
      </c>
      <c r="H186" t="s">
        <v>1614</v>
      </c>
      <c r="I186" t="s">
        <v>1615</v>
      </c>
    </row>
    <row r="187" spans="1:30" ht="29" x14ac:dyDescent="0.35">
      <c r="C187" s="10" t="s">
        <v>1608</v>
      </c>
      <c r="D187" s="10">
        <f>VLOOKUP(C187,'OL-JOC - DOI details-from-figsh'!C:H,6,FALSE)</f>
        <v>15</v>
      </c>
      <c r="E187" s="11" t="s">
        <v>1722</v>
      </c>
      <c r="F187" s="11" t="str">
        <f t="shared" si="4"/>
        <v/>
      </c>
      <c r="G187" s="11" t="str">
        <f t="shared" si="5"/>
        <v>ABP;ABV;AEP Optimization;AEP;AEV;AMV;BPV;PPP;PPV;TPP;TPV Optimization;TPV;TTA;TTP;TTV</v>
      </c>
      <c r="H187" t="s">
        <v>1616</v>
      </c>
      <c r="I187" t="s">
        <v>1617</v>
      </c>
    </row>
    <row r="188" spans="1:30" ht="116" x14ac:dyDescent="0.35">
      <c r="C188" s="10" t="s">
        <v>1609</v>
      </c>
      <c r="D188" s="10">
        <f>VLOOKUP(C188,'OL-JOC - DOI details-from-figsh'!C:H,6,FALSE)</f>
        <v>68</v>
      </c>
      <c r="E188" s="11" t="s">
        <v>1723</v>
      </c>
      <c r="F188" s="11" t="str">
        <f t="shared" si="4"/>
        <v>13C  compound  4a;13C  compound  4b;13C  compound  4c;13C  compound  4d;13C  compound  4e;13C  compound  4f;13C  compound  4g;13C  compound  4h;13C  compound  4i;13C  compound  4j;13C  compound  4k;13C  compound  4l;13C  compound  4m;13C  compound  4n;13C  compound  5a;13C  compound  5b;13C  compound  5c;13C  compound 3a;13C  compound 3d;13C  compound 3g;13C  compound 3h;13C  compound 3i;13C  compound 3j;13C  compound 3k</v>
      </c>
      <c r="G188" s="11" t="str">
        <f t="shared" si="5"/>
        <v>13C  compound  4a;13C  compound  4b;13C  compound  4c;13C  compound  4d;13C  compound  4e;13C  compound  4f;13C  compound  4g;13C  compound  4h;13C  compound  4i;13C  compound  4j;13C  compound  4k;13C  compound  4l;13C  compound  4m;13C  compound  4n;13C  compound  5a;13C  compound  5b;13C  compound  5c;13C  compound 3a;13C  compound 3d;13C  compound 3g;13C  compound 3h;13C  compound 3i;13C  compound 3j;13C  compound 3k</v>
      </c>
      <c r="H188" t="s">
        <v>1618</v>
      </c>
      <c r="I188" t="s">
        <v>1619</v>
      </c>
    </row>
    <row r="189" spans="1:30" ht="159.5" x14ac:dyDescent="0.35">
      <c r="C189" s="10" t="s">
        <v>1610</v>
      </c>
      <c r="D189" s="10">
        <f>VLOOKUP(C189,'OL-JOC - DOI details-from-figsh'!C:H,6,FALSE)</f>
        <v>179</v>
      </c>
      <c r="E189" s="11" t="s">
        <v>1726</v>
      </c>
      <c r="F189" s="11" t="str">
        <f t="shared" si="4"/>
        <v>RC-3-D-24B-CR_CARBON_20250301_01.fid;RC-3-D-24B-CR_HSQCAD_20250301_01.fid;RC-3-D-24B-CR_PROTON_20250301_02.fid;RC-3-D-24B-CR_gHMBCAD_20250301_01.fid;RC-3-D-35A-P_CARBON_20250301_01.fid;RC-3-D-35A-P_HSQCAD_20250301_01.fid;RC-3-D-35A-P_PROTON_20250301_02.fid;RC-3-D-34B-P_CARBON_20250301_01.fid;RC-3-D-34B-P_HSQCAD_20250301_01.fid;RC-3-D-34B-P_PROTON_20250301_02.fid;RC-3-D-34B-P_gHMBCAD_20250301_01.fid;RC-3-D-37A-P_CARBON_20</v>
      </c>
      <c r="G189" s="11" t="str">
        <f t="shared" si="5"/>
        <v>RC-3-D-24B-CR_CARBON_20250301_01.fid;RC-3-D-24B-CR_HSQCAD_20250301_01.fid;RC-3-D-24B-CR_PROTON_20250301_02.fid;RC-3-D-24B-CR_gHMBCAD_20250301_01.fid;RC-3-D-35A-P_CARBON_20250301_01.fid;RC-3-D-35A-P_HSQCAD_20250301_01.fid;RC-3-D-35A-P_PROTON_20250301_02.fid;RC-3-D-34B-P_CARBON_20250301_01.fid;RC-3-D-34B-P_HSQCAD_20250301_01.fid;RC-3-D-34B-P_PROTON_20250301_02.fid;RC-3-D-34B-P_gHMBCAD_20250301_01.fid;RC-3-D-37A-P_CARBON_20</v>
      </c>
      <c r="H189" t="s">
        <v>1620</v>
      </c>
      <c r="I189" t="s">
        <v>1621</v>
      </c>
    </row>
    <row r="190" spans="1:30" ht="116" x14ac:dyDescent="0.35">
      <c r="C190" s="10" t="s">
        <v>1611</v>
      </c>
      <c r="D190" s="10">
        <f>VLOOKUP(C190,'OL-JOC - DOI details-from-figsh'!C:H,6,FALSE)</f>
        <v>33</v>
      </c>
      <c r="E190" s="11" t="s">
        <v>1727</v>
      </c>
      <c r="F190" s="11" t="str">
        <f t="shared" si="4"/>
        <v>3aa. JSP01-P-CDCL3;3ab. JSP16-P2-CDCL3;3ac. JM431-P-RE-CDCL3;3ba. JM400-P-CDCL3;3ca. JM393-P-CDCL3;3da. JM399-P-CDCL3;3ea. JM398-P-CDCL3;3fa. JM468-P-ACE;3ga. JM405-P1-CDCL3;3ha. JM411-P-RE-CDCL3;3ia. JM346-P1-CDCL3(re);3ja. JM-ZM04-P-CDCL3;3ka. JM370-RE-P-CDCL3;3la. ZM05-P-CDCL3, ZM46(C);3ma;3oa. JSP31-P;3pa. JM-JSP06-P-RE-CDCL3;3qa. ZM10-P-RE2;4aa. TJ-n-379B-P2;4ab. JM446-P-ACE;4ba. JSP-JM436-P;4ca. JM373-P-RE-ACE;4da.</v>
      </c>
      <c r="G190" s="11" t="str">
        <f t="shared" si="5"/>
        <v>3aa. JSP01-P-CDCL3;3ab. JSP16-P2-CDCL3;3ac. JM431-P-RE-CDCL3;3ba. JM400-P-CDCL3;3ca. JM393-P-CDCL3;3da. JM399-P-CDCL3;3ea. JM398-P-CDCL3;3fa. JM468-P-ACE;3ga. JM405-P1-CDCL3;3ha. JM411-P-RE-CDCL3;3ia. JM346-P1-CDCL3(re);3ja. JM-ZM04-P-CDCL3;3ka. JM370-RE-P-CDCL3;3la. ZM05-P-CDCL3, ZM46(C);3ma;3oa. JSP31-P;3pa. JM-JSP06-P-RE-CDCL3;3qa. ZM10-P-RE2;4aa. TJ-n-379B-P2;4ab. JM446-P-ACE;4ba. JSP-JM436-P;4ca. JM373-P-RE-ACE;4da.</v>
      </c>
      <c r="H190" t="s">
        <v>1622</v>
      </c>
      <c r="I190" t="s">
        <v>1623</v>
      </c>
    </row>
    <row r="191" spans="1:30" ht="43.5" x14ac:dyDescent="0.35">
      <c r="C191" s="10" t="s">
        <v>1612</v>
      </c>
      <c r="D191" s="10">
        <f>VLOOKUP(C191,'OL-JOC - DOI details-from-figsh'!C:H,6,FALSE)</f>
        <v>13</v>
      </c>
      <c r="E191" s="11" t="s">
        <v>1728</v>
      </c>
      <c r="F191" s="11" t="str">
        <f t="shared" si="4"/>
        <v/>
      </c>
      <c r="G191" s="11" t="str">
        <f t="shared" si="5"/>
        <v>10a-10h;C NMR;H NMR;PROTON_01.fid;11a-11h;FAL1095-9-12-PROTON_01.fid;C NMR.fid;12b-12f;5a-5h;H NMR.fid;7a-7f;8b-8d;9a-9h;FAL-BR-PHT-PROTON_01.fid</v>
      </c>
      <c r="H191" t="s">
        <v>1624</v>
      </c>
      <c r="I191" t="s">
        <v>1625</v>
      </c>
    </row>
    <row r="192" spans="1:30" ht="116" x14ac:dyDescent="0.35">
      <c r="A192" s="11" t="s">
        <v>2299</v>
      </c>
      <c r="B192" s="10" t="s">
        <v>1095</v>
      </c>
      <c r="C192" s="10" t="s">
        <v>1613</v>
      </c>
      <c r="D192" s="10" t="e">
        <f>VLOOKUP(C192,'OL-JOC - DOI details-from-figsh'!C:H,6,FALSE)</f>
        <v>#N/A</v>
      </c>
      <c r="E192" s="11" t="s">
        <v>1729</v>
      </c>
      <c r="F192" s="11" t="str">
        <f t="shared" si="4"/>
        <v>01. diprotio_radical_gs_12a.out;02. diprotio_cyclization_ts(12a-to-13a).out;03. diprotio_radical_closed_gs_13a.out;04. difluoro_radical_gs_12b.out;05. difluoro_radical_ts(12b-to-13b).out;06. difluoro_radical_closed_gs_13b.out;07. Difluoroanhydride reactive 18.out;08. TS1.out;09. Diradical DiRad.out;10. TS2.out;11. Cyclic Allene 19.out;12. Cyclohexene cy.out;13. 32 min.out;14. HF.out;15. 33 min.out;16. 33 from RC of TS3 a</v>
      </c>
      <c r="G192" s="11" t="str">
        <f t="shared" si="5"/>
        <v>01. diprotio_radical_gs_12a.out;02. diprotio_cyclization_ts(12a-to-13a).out;03. diprotio_radical_closed_gs_13a.out;04. difluoro_radical_gs_12b.out;05. difluoro_radical_ts(12b-to-13b).out;06. difluoro_radical_closed_gs_13b.out;07. Difluoroanhydride reactive 18.out;08. TS1.out;09. Diradical DiRad.out;10. TS2.out;11. Cyclic Allene 19.out;12. Cyclohexene cy.out;13. 32 min.out;14. HF.out;15. 33 min.out;16. 33 from RC of TS3 a</v>
      </c>
      <c r="H192" t="s">
        <v>1626</v>
      </c>
      <c r="I192" t="s">
        <v>1627</v>
      </c>
    </row>
    <row r="193" spans="1:7" ht="72.5" x14ac:dyDescent="0.35">
      <c r="B193" s="10">
        <v>1</v>
      </c>
      <c r="C193" s="10" t="s">
        <v>1614</v>
      </c>
      <c r="D193" s="10">
        <f>VLOOKUP(C193,'OL-JOC - DOI details-from-figsh'!C:H,6,FALSE)</f>
        <v>75</v>
      </c>
      <c r="E193" s="11" t="s">
        <v>1615</v>
      </c>
      <c r="F193" s="11" t="str">
        <f t="shared" si="4"/>
        <v/>
      </c>
      <c r="G193" s="11" t="str">
        <f t="shared" si="5"/>
        <v>10aB;10aF;10aL;10aP;10iB;10iF;10iL;10iP;11aB;11aF;11aL;11aP;3a;3ab;3ac;3ad;3ae;3af;3ag;3ah;3ai;3aj;3b;3be;3bi;3bj;3c;3cj;3d;3e;3f;3g;3h;3i;3j;3k;3l;3m;3n;3o;6a;6ab;6ac;6ad;6ae;6af;6b;6be;6c;6d;6e;6f;6g;6h;6i;6j;6k;6l;6m;6n;6o;7a;7ag;7ah;7ai;7aj;7bi;7bj;7cj;7i;7j;7n;8a;8i;9a</v>
      </c>
    </row>
    <row r="194" spans="1:7" ht="29" x14ac:dyDescent="0.35">
      <c r="B194" s="10">
        <v>1</v>
      </c>
      <c r="C194" s="10" t="s">
        <v>1616</v>
      </c>
      <c r="D194" s="10">
        <f>VLOOKUP(C194,'OL-JOC - DOI details-from-figsh'!C:H,6,FALSE)</f>
        <v>28</v>
      </c>
      <c r="E194" s="11" t="s">
        <v>1617</v>
      </c>
      <c r="F194" s="11" t="str">
        <f t="shared" si="4"/>
        <v/>
      </c>
      <c r="G194" s="11" t="str">
        <f t="shared" si="5"/>
        <v>3a;3b;3c;3d;3e;3f;3g;3h;3i;3j;3k;3l;3m;3n;3o;3p;3q;3r;3s;3t;4a;4b;4c;4d;4e;5;7;8</v>
      </c>
    </row>
    <row r="195" spans="1:7" ht="58" x14ac:dyDescent="0.35">
      <c r="A195" s="11" t="s">
        <v>2301</v>
      </c>
      <c r="B195" s="10">
        <v>1</v>
      </c>
      <c r="C195" s="10" t="s">
        <v>1618</v>
      </c>
      <c r="D195" s="10">
        <f>VLOOKUP(C195,'OL-JOC - DOI details-from-figsh'!C:H,6,FALSE)</f>
        <v>71</v>
      </c>
      <c r="E195" s="11" t="s">
        <v>1619</v>
      </c>
      <c r="F195" s="11" t="str">
        <f t="shared" ref="F195:F199" si="6">IF(G195=E195,"",G195)</f>
        <v/>
      </c>
      <c r="G195" s="11" t="str">
        <f t="shared" ref="G195:G199" si="7">VLOOKUP(C195,H:I,2,FALSE)</f>
        <v>FID-1;3a;3b;3c;3d;3e;3f;3g;3h;3i;3j;3k;3l;3m;3n;3o;3p;3q;3r;4b;4c;4d;4e;4f;4g;4h;4i;4j;4k;4l;4m;4n;4o;4p;4q;4r;4s;5a;5b;5c;5d;5e;5f;5g;5h;5i;5j;5k;5l;5m;5n;5o;5p;5q;5r;6b;6c;6d;6e;6f;6g;6h;6i;6j;6k;6l;6m;6o;6p</v>
      </c>
    </row>
    <row r="196" spans="1:7" ht="43.5" x14ac:dyDescent="0.35">
      <c r="B196" s="10">
        <v>1</v>
      </c>
      <c r="C196" s="10" t="s">
        <v>1620</v>
      </c>
      <c r="D196" s="10">
        <f>VLOOKUP(C196,'OL-JOC - DOI details-from-figsh'!C:H,6,FALSE)</f>
        <v>47</v>
      </c>
      <c r="E196" s="11" t="s">
        <v>1621</v>
      </c>
      <c r="F196" s="11" t="str">
        <f t="shared" si="6"/>
        <v/>
      </c>
      <c r="G196" s="11" t="str">
        <f t="shared" si="7"/>
        <v>2v;2w;2x;2y;2z;3a;3aa;3ab;3ac;3ad;3ae;3af;3ag;3ah;3ai;3aj;3ak;3al;3am;3an;3ao;3ap;3aq;3ar;3b;3c;3d;3e;3f;3g;3h;3i;3j;3k;3l;3m;3o;3p;3r;3s;3t;3u;3v;3w;3x;3y;3z</v>
      </c>
    </row>
    <row r="197" spans="1:7" ht="29" x14ac:dyDescent="0.35">
      <c r="B197" s="10">
        <v>1</v>
      </c>
      <c r="C197" s="10" t="s">
        <v>1622</v>
      </c>
      <c r="D197" s="10">
        <f>VLOOKUP(C197,'OL-JOC - DOI details-from-figsh'!C:H,6,FALSE)</f>
        <v>33</v>
      </c>
      <c r="E197" s="11" t="s">
        <v>1623</v>
      </c>
      <c r="F197" s="11" t="str">
        <f t="shared" si="6"/>
        <v/>
      </c>
      <c r="G197" s="11" t="str">
        <f t="shared" si="7"/>
        <v>10;11;12;13;14;15;16;17;18;19;20;21;22;23;24;25;26;27;28;29;30;31;32;33;4;9;S1;S2;S3;S4;S5;S6;S7</v>
      </c>
    </row>
    <row r="198" spans="1:7" ht="29" x14ac:dyDescent="0.35">
      <c r="A198" s="11" t="s">
        <v>2300</v>
      </c>
      <c r="B198" s="10">
        <v>1</v>
      </c>
      <c r="C198" s="10" t="s">
        <v>1624</v>
      </c>
      <c r="D198" s="10">
        <f>VLOOKUP(C198,'OL-JOC - DOI details-from-figsh'!C:H,6,FALSE)</f>
        <v>118</v>
      </c>
      <c r="E198" s="11" t="s">
        <v>1625</v>
      </c>
      <c r="F198" s="11" t="str">
        <f t="shared" si="6"/>
        <v/>
      </c>
      <c r="G198" s="11" t="str">
        <f t="shared" si="7"/>
        <v>App;2;4;6;1a;1b;1c;1d;1e;1f;1g;1h;1i;1j;3a;3b;3c;3d;3e;3f;5a;5b;5c;5d;5e;5f;5g</v>
      </c>
    </row>
    <row r="199" spans="1:7" ht="43.5" x14ac:dyDescent="0.35">
      <c r="B199" s="10">
        <v>1</v>
      </c>
      <c r="C199" s="10" t="s">
        <v>1626</v>
      </c>
      <c r="D199" s="10">
        <f>VLOOKUP(C199,'OL-JOC - DOI details-from-figsh'!C:H,6,FALSE)</f>
        <v>46</v>
      </c>
      <c r="E199" s="11" t="s">
        <v>1627</v>
      </c>
      <c r="F199" s="11" t="str">
        <f t="shared" si="6"/>
        <v/>
      </c>
      <c r="G199" s="11" t="str">
        <f t="shared" si="7"/>
        <v>10;3aa;3ab;3ac;3ba;3bb;3bc;3bd;3be;3bf;3bg;3bh;3ca;3cb;3cc;3cd;3da;3db;3dc;3dd;3ea;3eb;3ec;3ed;3fa;3fb;3fe;5a;5b;5c;5d;5e;5f;5g;5h;5i;5j;5k;5l;5m;5n;5o;7a;7b;8;9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3486-09D0-472B-89B6-91BA4C6261DF}">
  <dimension ref="A1:C18"/>
  <sheetViews>
    <sheetView workbookViewId="0">
      <selection activeCell="B1" sqref="B1:C5"/>
    </sheetView>
  </sheetViews>
  <sheetFormatPr defaultRowHeight="14.5" x14ac:dyDescent="0.35"/>
  <cols>
    <col min="2" max="2" width="15.7265625" customWidth="1"/>
  </cols>
  <sheetData>
    <row r="1" spans="1:3" x14ac:dyDescent="0.35">
      <c r="A1">
        <v>790</v>
      </c>
      <c r="B1" t="s">
        <v>1293</v>
      </c>
      <c r="C1">
        <f>A1+A7+A13</f>
        <v>1319</v>
      </c>
    </row>
    <row r="2" spans="1:3" x14ac:dyDescent="0.35">
      <c r="A2">
        <v>9570</v>
      </c>
      <c r="B2" t="s">
        <v>1294</v>
      </c>
      <c r="C2">
        <f t="shared" ref="C2:C5" si="0">A2+A8+A14</f>
        <v>15860</v>
      </c>
    </row>
    <row r="3" spans="1:3" x14ac:dyDescent="0.35">
      <c r="A3">
        <v>5196</v>
      </c>
      <c r="B3" t="s">
        <v>1295</v>
      </c>
      <c r="C3">
        <f t="shared" si="0"/>
        <v>8480</v>
      </c>
    </row>
    <row r="4" spans="1:3" x14ac:dyDescent="0.35">
      <c r="A4">
        <v>266285</v>
      </c>
      <c r="B4" t="s">
        <v>1296</v>
      </c>
      <c r="C4">
        <f t="shared" si="0"/>
        <v>422078</v>
      </c>
    </row>
    <row r="5" spans="1:3" x14ac:dyDescent="0.35">
      <c r="A5">
        <v>20675</v>
      </c>
      <c r="B5" t="s">
        <v>1297</v>
      </c>
      <c r="C5">
        <f t="shared" si="0"/>
        <v>33415</v>
      </c>
    </row>
    <row r="7" spans="1:3" x14ac:dyDescent="0.35">
      <c r="A7">
        <v>268</v>
      </c>
      <c r="B7" t="s">
        <v>1293</v>
      </c>
    </row>
    <row r="8" spans="1:3" x14ac:dyDescent="0.35">
      <c r="A8">
        <v>4407</v>
      </c>
      <c r="B8" t="s">
        <v>1294</v>
      </c>
    </row>
    <row r="9" spans="1:3" x14ac:dyDescent="0.35">
      <c r="A9">
        <v>2242</v>
      </c>
      <c r="B9" t="s">
        <v>1295</v>
      </c>
    </row>
    <row r="10" spans="1:3" x14ac:dyDescent="0.35">
      <c r="A10">
        <v>102867</v>
      </c>
      <c r="B10" t="s">
        <v>1296</v>
      </c>
    </row>
    <row r="11" spans="1:3" x14ac:dyDescent="0.35">
      <c r="A11">
        <v>8230</v>
      </c>
      <c r="B11" t="s">
        <v>1298</v>
      </c>
    </row>
    <row r="13" spans="1:3" x14ac:dyDescent="0.35">
      <c r="A13">
        <v>261</v>
      </c>
      <c r="B13" t="s">
        <v>1293</v>
      </c>
    </row>
    <row r="14" spans="1:3" x14ac:dyDescent="0.35">
      <c r="A14">
        <v>1883</v>
      </c>
      <c r="B14" t="s">
        <v>1294</v>
      </c>
    </row>
    <row r="15" spans="1:3" x14ac:dyDescent="0.35">
      <c r="A15">
        <v>1042</v>
      </c>
      <c r="B15" t="s">
        <v>1295</v>
      </c>
    </row>
    <row r="16" spans="1:3" x14ac:dyDescent="0.35">
      <c r="A16">
        <v>52926</v>
      </c>
      <c r="B16" t="s">
        <v>1296</v>
      </c>
    </row>
    <row r="17" spans="1:2" x14ac:dyDescent="0.35">
      <c r="A17">
        <v>4510</v>
      </c>
      <c r="B17" t="s">
        <v>1298</v>
      </c>
    </row>
    <row r="18" spans="1:2" x14ac:dyDescent="0.35">
      <c r="A18" t="s">
        <v>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2F11-F5C2-47EE-AAED-91C1B09D0566}">
  <dimension ref="A1:D342"/>
  <sheetViews>
    <sheetView topLeftCell="B1" workbookViewId="0">
      <selection activeCell="C2" sqref="C2"/>
    </sheetView>
  </sheetViews>
  <sheetFormatPr defaultRowHeight="14.5" x14ac:dyDescent="0.35"/>
  <cols>
    <col min="1" max="6" width="49.36328125" customWidth="1"/>
  </cols>
  <sheetData>
    <row r="1" spans="1:4" x14ac:dyDescent="0.35">
      <c r="A1" t="s">
        <v>1132</v>
      </c>
      <c r="B1" t="s">
        <v>0</v>
      </c>
      <c r="C1" t="s">
        <v>1</v>
      </c>
      <c r="D1" t="s">
        <v>1133</v>
      </c>
    </row>
    <row r="2" spans="1:4" x14ac:dyDescent="0.35">
      <c r="A2" t="s">
        <v>770</v>
      </c>
      <c r="B2" t="s">
        <v>771</v>
      </c>
      <c r="C2" t="s">
        <v>1251</v>
      </c>
      <c r="D2" t="s">
        <v>772</v>
      </c>
    </row>
    <row r="3" spans="1:4" x14ac:dyDescent="0.35">
      <c r="A3" t="s">
        <v>886</v>
      </c>
      <c r="B3" t="s">
        <v>887</v>
      </c>
      <c r="C3" t="s">
        <v>1267</v>
      </c>
      <c r="D3" t="s">
        <v>888</v>
      </c>
    </row>
    <row r="4" spans="1:4" x14ac:dyDescent="0.35">
      <c r="A4" t="s">
        <v>239</v>
      </c>
      <c r="B4" t="s">
        <v>240</v>
      </c>
      <c r="C4" t="s">
        <v>1157</v>
      </c>
      <c r="D4" t="s">
        <v>241</v>
      </c>
    </row>
    <row r="5" spans="1:4" x14ac:dyDescent="0.35">
      <c r="A5" t="s">
        <v>242</v>
      </c>
      <c r="B5" t="s">
        <v>243</v>
      </c>
      <c r="C5" t="s">
        <v>1157</v>
      </c>
      <c r="D5" t="s">
        <v>241</v>
      </c>
    </row>
    <row r="6" spans="1:4" x14ac:dyDescent="0.35">
      <c r="A6" t="s">
        <v>699</v>
      </c>
      <c r="B6" t="s">
        <v>700</v>
      </c>
      <c r="C6" t="s">
        <v>701</v>
      </c>
      <c r="D6" t="s">
        <v>702</v>
      </c>
    </row>
    <row r="7" spans="1:4" x14ac:dyDescent="0.35">
      <c r="A7" t="s">
        <v>328</v>
      </c>
      <c r="B7" t="s">
        <v>329</v>
      </c>
      <c r="C7" t="s">
        <v>1174</v>
      </c>
      <c r="D7" t="s">
        <v>330</v>
      </c>
    </row>
    <row r="8" spans="1:4" x14ac:dyDescent="0.35">
      <c r="A8" t="s">
        <v>461</v>
      </c>
      <c r="B8" t="s">
        <v>462</v>
      </c>
      <c r="C8" t="s">
        <v>463</v>
      </c>
      <c r="D8" t="s">
        <v>464</v>
      </c>
    </row>
    <row r="9" spans="1:4" x14ac:dyDescent="0.35">
      <c r="A9" t="s">
        <v>44</v>
      </c>
      <c r="B9" t="s">
        <v>45</v>
      </c>
      <c r="C9" t="s">
        <v>46</v>
      </c>
      <c r="D9" t="s">
        <v>47</v>
      </c>
    </row>
    <row r="10" spans="1:4" x14ac:dyDescent="0.35">
      <c r="A10" t="s">
        <v>730</v>
      </c>
      <c r="B10" t="s">
        <v>731</v>
      </c>
      <c r="C10" t="s">
        <v>1243</v>
      </c>
      <c r="D10" t="s">
        <v>732</v>
      </c>
    </row>
    <row r="11" spans="1:4" x14ac:dyDescent="0.35">
      <c r="A11" t="s">
        <v>744</v>
      </c>
      <c r="B11" t="s">
        <v>745</v>
      </c>
      <c r="C11" t="s">
        <v>1245</v>
      </c>
      <c r="D11" t="s">
        <v>746</v>
      </c>
    </row>
    <row r="12" spans="1:4" x14ac:dyDescent="0.35">
      <c r="A12" t="s">
        <v>776</v>
      </c>
      <c r="B12" t="s">
        <v>777</v>
      </c>
      <c r="C12" t="s">
        <v>778</v>
      </c>
      <c r="D12" t="s">
        <v>779</v>
      </c>
    </row>
    <row r="13" spans="1:4" x14ac:dyDescent="0.35">
      <c r="A13" t="s">
        <v>325</v>
      </c>
      <c r="B13" t="s">
        <v>326</v>
      </c>
      <c r="C13" t="s">
        <v>1173</v>
      </c>
      <c r="D13" t="s">
        <v>327</v>
      </c>
    </row>
    <row r="14" spans="1:4" x14ac:dyDescent="0.35">
      <c r="A14" t="s">
        <v>937</v>
      </c>
      <c r="B14" t="s">
        <v>938</v>
      </c>
      <c r="C14" t="s">
        <v>939</v>
      </c>
      <c r="D14" t="s">
        <v>940</v>
      </c>
    </row>
    <row r="15" spans="1:4" x14ac:dyDescent="0.35">
      <c r="A15" t="s">
        <v>763</v>
      </c>
      <c r="B15" t="s">
        <v>764</v>
      </c>
      <c r="C15" t="s">
        <v>1250</v>
      </c>
      <c r="D15" t="s">
        <v>765</v>
      </c>
    </row>
    <row r="16" spans="1:4" x14ac:dyDescent="0.35">
      <c r="A16" t="s">
        <v>839</v>
      </c>
      <c r="B16" t="s">
        <v>840</v>
      </c>
      <c r="C16" t="s">
        <v>841</v>
      </c>
      <c r="D16" t="s">
        <v>842</v>
      </c>
    </row>
    <row r="17" spans="1:4" x14ac:dyDescent="0.35">
      <c r="A17" t="s">
        <v>843</v>
      </c>
      <c r="B17" t="s">
        <v>844</v>
      </c>
      <c r="C17" t="s">
        <v>841</v>
      </c>
      <c r="D17" t="s">
        <v>842</v>
      </c>
    </row>
    <row r="18" spans="1:4" x14ac:dyDescent="0.35">
      <c r="A18" t="s">
        <v>339</v>
      </c>
      <c r="B18" t="s">
        <v>340</v>
      </c>
      <c r="C18" t="s">
        <v>341</v>
      </c>
      <c r="D18" t="s">
        <v>342</v>
      </c>
    </row>
    <row r="19" spans="1:4" x14ac:dyDescent="0.35">
      <c r="A19" t="s">
        <v>7</v>
      </c>
      <c r="B19" t="s">
        <v>8</v>
      </c>
      <c r="C19" t="s">
        <v>9</v>
      </c>
      <c r="D19" t="s">
        <v>10</v>
      </c>
    </row>
    <row r="20" spans="1:4" x14ac:dyDescent="0.35">
      <c r="A20" t="s">
        <v>472</v>
      </c>
      <c r="B20" t="s">
        <v>473</v>
      </c>
      <c r="C20" t="s">
        <v>1198</v>
      </c>
      <c r="D20" t="s">
        <v>474</v>
      </c>
    </row>
    <row r="21" spans="1:4" x14ac:dyDescent="0.35">
      <c r="A21" t="s">
        <v>407</v>
      </c>
      <c r="B21" t="s">
        <v>408</v>
      </c>
      <c r="C21" t="s">
        <v>1189</v>
      </c>
      <c r="D21" t="s">
        <v>409</v>
      </c>
    </row>
    <row r="22" spans="1:4" x14ac:dyDescent="0.35">
      <c r="A22" t="s">
        <v>357</v>
      </c>
      <c r="B22" t="s">
        <v>358</v>
      </c>
      <c r="C22" t="s">
        <v>1179</v>
      </c>
      <c r="D22" t="s">
        <v>359</v>
      </c>
    </row>
    <row r="23" spans="1:4" x14ac:dyDescent="0.35">
      <c r="A23" t="s">
        <v>486</v>
      </c>
      <c r="B23" t="s">
        <v>487</v>
      </c>
      <c r="C23" t="s">
        <v>1200</v>
      </c>
      <c r="D23" t="s">
        <v>488</v>
      </c>
    </row>
    <row r="24" spans="1:4" x14ac:dyDescent="0.35">
      <c r="A24" t="s">
        <v>104</v>
      </c>
      <c r="B24" t="s">
        <v>105</v>
      </c>
      <c r="C24" t="s">
        <v>106</v>
      </c>
      <c r="D24" t="s">
        <v>107</v>
      </c>
    </row>
    <row r="25" spans="1:4" x14ac:dyDescent="0.35">
      <c r="A25" t="s">
        <v>367</v>
      </c>
      <c r="B25" t="s">
        <v>368</v>
      </c>
      <c r="C25" t="s">
        <v>369</v>
      </c>
      <c r="D25" t="s">
        <v>370</v>
      </c>
    </row>
    <row r="26" spans="1:4" x14ac:dyDescent="0.35">
      <c r="A26" t="s">
        <v>996</v>
      </c>
      <c r="B26" t="s">
        <v>997</v>
      </c>
      <c r="C26" t="s">
        <v>998</v>
      </c>
      <c r="D26" t="s">
        <v>999</v>
      </c>
    </row>
    <row r="27" spans="1:4" x14ac:dyDescent="0.35">
      <c r="A27" t="s">
        <v>374</v>
      </c>
      <c r="B27" t="s">
        <v>375</v>
      </c>
      <c r="C27" t="s">
        <v>1182</v>
      </c>
      <c r="D27" t="s">
        <v>376</v>
      </c>
    </row>
    <row r="28" spans="1:4" x14ac:dyDescent="0.35">
      <c r="A28" t="s">
        <v>971</v>
      </c>
      <c r="B28" t="s">
        <v>972</v>
      </c>
      <c r="C28" t="s">
        <v>973</v>
      </c>
      <c r="D28" t="s">
        <v>974</v>
      </c>
    </row>
    <row r="29" spans="1:4" x14ac:dyDescent="0.35">
      <c r="A29" t="s">
        <v>726</v>
      </c>
      <c r="B29" t="s">
        <v>727</v>
      </c>
      <c r="C29" t="s">
        <v>728</v>
      </c>
      <c r="D29" t="s">
        <v>729</v>
      </c>
    </row>
    <row r="30" spans="1:4" x14ac:dyDescent="0.35">
      <c r="A30" t="s">
        <v>869</v>
      </c>
      <c r="B30" t="s">
        <v>870</v>
      </c>
      <c r="C30" t="s">
        <v>871</v>
      </c>
      <c r="D30" t="s">
        <v>872</v>
      </c>
    </row>
    <row r="31" spans="1:4" x14ac:dyDescent="0.35">
      <c r="A31" t="s">
        <v>865</v>
      </c>
      <c r="B31" t="s">
        <v>866</v>
      </c>
      <c r="C31" t="s">
        <v>867</v>
      </c>
      <c r="D31" t="s">
        <v>868</v>
      </c>
    </row>
    <row r="32" spans="1:4" x14ac:dyDescent="0.35">
      <c r="A32" t="s">
        <v>912</v>
      </c>
      <c r="B32" t="s">
        <v>913</v>
      </c>
      <c r="C32" t="s">
        <v>1274</v>
      </c>
      <c r="D32" t="s">
        <v>914</v>
      </c>
    </row>
    <row r="33" spans="1:4" x14ac:dyDescent="0.35">
      <c r="A33" t="s">
        <v>753</v>
      </c>
      <c r="B33" t="s">
        <v>754</v>
      </c>
      <c r="C33" t="s">
        <v>755</v>
      </c>
      <c r="D33" t="s">
        <v>756</v>
      </c>
    </row>
    <row r="34" spans="1:4" x14ac:dyDescent="0.35">
      <c r="A34" t="s">
        <v>55</v>
      </c>
      <c r="B34" t="s">
        <v>56</v>
      </c>
      <c r="C34" t="s">
        <v>57</v>
      </c>
      <c r="D34" t="s">
        <v>58</v>
      </c>
    </row>
    <row r="35" spans="1:4" x14ac:dyDescent="0.35">
      <c r="A35" t="s">
        <v>429</v>
      </c>
      <c r="B35" t="s">
        <v>430</v>
      </c>
      <c r="C35" t="s">
        <v>431</v>
      </c>
      <c r="D35" t="s">
        <v>432</v>
      </c>
    </row>
    <row r="36" spans="1:4" x14ac:dyDescent="0.35">
      <c r="A36" t="s">
        <v>682</v>
      </c>
      <c r="B36" t="s">
        <v>683</v>
      </c>
      <c r="C36" t="s">
        <v>684</v>
      </c>
      <c r="D36" t="s">
        <v>685</v>
      </c>
    </row>
    <row r="37" spans="1:4" x14ac:dyDescent="0.35">
      <c r="A37" t="s">
        <v>552</v>
      </c>
      <c r="B37" t="s">
        <v>553</v>
      </c>
      <c r="C37" t="s">
        <v>1210</v>
      </c>
      <c r="D37" t="s">
        <v>554</v>
      </c>
    </row>
    <row r="38" spans="1:4" x14ac:dyDescent="0.35">
      <c r="A38" t="s">
        <v>164</v>
      </c>
      <c r="B38" t="s">
        <v>165</v>
      </c>
      <c r="C38" t="s">
        <v>1148</v>
      </c>
      <c r="D38" t="s">
        <v>166</v>
      </c>
    </row>
    <row r="39" spans="1:4" x14ac:dyDescent="0.35">
      <c r="A39" t="s">
        <v>167</v>
      </c>
      <c r="B39" t="s">
        <v>168</v>
      </c>
      <c r="C39" t="s">
        <v>1148</v>
      </c>
      <c r="D39" t="s">
        <v>166</v>
      </c>
    </row>
    <row r="40" spans="1:4" x14ac:dyDescent="0.35">
      <c r="A40" t="s">
        <v>900</v>
      </c>
      <c r="B40" t="s">
        <v>901</v>
      </c>
      <c r="C40" t="s">
        <v>1270</v>
      </c>
      <c r="D40" t="s">
        <v>902</v>
      </c>
    </row>
    <row r="41" spans="1:4" x14ac:dyDescent="0.35">
      <c r="A41" t="s">
        <v>233</v>
      </c>
      <c r="B41" t="s">
        <v>234</v>
      </c>
      <c r="C41" t="s">
        <v>1155</v>
      </c>
      <c r="D41" t="s">
        <v>235</v>
      </c>
    </row>
    <row r="42" spans="1:4" x14ac:dyDescent="0.35">
      <c r="A42" t="s">
        <v>747</v>
      </c>
      <c r="B42" t="s">
        <v>748</v>
      </c>
      <c r="C42" t="s">
        <v>1246</v>
      </c>
      <c r="D42" t="s">
        <v>749</v>
      </c>
    </row>
    <row r="43" spans="1:4" x14ac:dyDescent="0.35">
      <c r="A43" t="s">
        <v>788</v>
      </c>
      <c r="B43" t="s">
        <v>789</v>
      </c>
      <c r="C43" t="s">
        <v>790</v>
      </c>
      <c r="D43" t="s">
        <v>791</v>
      </c>
    </row>
    <row r="44" spans="1:4" x14ac:dyDescent="0.35">
      <c r="A44" t="s">
        <v>77</v>
      </c>
      <c r="B44" t="s">
        <v>78</v>
      </c>
      <c r="C44" t="s">
        <v>1141</v>
      </c>
      <c r="D44" t="s">
        <v>79</v>
      </c>
    </row>
    <row r="45" spans="1:4" x14ac:dyDescent="0.35">
      <c r="A45" t="s">
        <v>918</v>
      </c>
      <c r="B45" t="s">
        <v>919</v>
      </c>
      <c r="C45" t="s">
        <v>920</v>
      </c>
      <c r="D45" t="s">
        <v>921</v>
      </c>
    </row>
    <row r="46" spans="1:4" x14ac:dyDescent="0.35">
      <c r="A46" t="s">
        <v>447</v>
      </c>
      <c r="B46" t="s">
        <v>448</v>
      </c>
      <c r="C46" t="s">
        <v>1195</v>
      </c>
      <c r="D46" t="s">
        <v>449</v>
      </c>
    </row>
    <row r="47" spans="1:4" x14ac:dyDescent="0.35">
      <c r="A47" t="s">
        <v>706</v>
      </c>
      <c r="B47" t="s">
        <v>707</v>
      </c>
      <c r="C47" t="s">
        <v>1236</v>
      </c>
      <c r="D47" t="s">
        <v>705</v>
      </c>
    </row>
    <row r="48" spans="1:4" x14ac:dyDescent="0.35">
      <c r="A48" t="s">
        <v>703</v>
      </c>
      <c r="B48" t="s">
        <v>704</v>
      </c>
      <c r="C48" t="s">
        <v>1235</v>
      </c>
      <c r="D48" t="s">
        <v>705</v>
      </c>
    </row>
    <row r="49" spans="1:4" x14ac:dyDescent="0.35">
      <c r="A49" t="s">
        <v>926</v>
      </c>
      <c r="B49" t="s">
        <v>927</v>
      </c>
      <c r="C49" t="s">
        <v>1276</v>
      </c>
      <c r="D49" t="s">
        <v>928</v>
      </c>
    </row>
    <row r="50" spans="1:4" x14ac:dyDescent="0.35">
      <c r="A50" t="s">
        <v>91</v>
      </c>
      <c r="B50" t="s">
        <v>92</v>
      </c>
      <c r="C50" t="s">
        <v>1143</v>
      </c>
      <c r="D50" t="s">
        <v>93</v>
      </c>
    </row>
    <row r="51" spans="1:4" x14ac:dyDescent="0.35">
      <c r="A51" t="s">
        <v>609</v>
      </c>
      <c r="B51" t="s">
        <v>610</v>
      </c>
      <c r="C51" t="s">
        <v>1221</v>
      </c>
      <c r="D51" t="s">
        <v>611</v>
      </c>
    </row>
    <row r="52" spans="1:4" x14ac:dyDescent="0.35">
      <c r="A52" t="s">
        <v>543</v>
      </c>
      <c r="B52" t="s">
        <v>544</v>
      </c>
      <c r="C52" t="s">
        <v>1207</v>
      </c>
      <c r="D52" t="s">
        <v>545</v>
      </c>
    </row>
    <row r="53" spans="1:4" x14ac:dyDescent="0.35">
      <c r="A53" t="s">
        <v>111</v>
      </c>
      <c r="B53" t="s">
        <v>112</v>
      </c>
      <c r="C53" t="s">
        <v>113</v>
      </c>
      <c r="D53" t="s">
        <v>114</v>
      </c>
    </row>
    <row r="54" spans="1:4" x14ac:dyDescent="0.35">
      <c r="A54" t="s">
        <v>115</v>
      </c>
      <c r="B54" t="s">
        <v>116</v>
      </c>
      <c r="C54" t="s">
        <v>113</v>
      </c>
      <c r="D54" t="s">
        <v>114</v>
      </c>
    </row>
    <row r="55" spans="1:4" x14ac:dyDescent="0.35">
      <c r="A55" t="s">
        <v>117</v>
      </c>
      <c r="B55" t="s">
        <v>118</v>
      </c>
      <c r="C55" t="s">
        <v>113</v>
      </c>
      <c r="D55" t="s">
        <v>114</v>
      </c>
    </row>
    <row r="56" spans="1:4" x14ac:dyDescent="0.35">
      <c r="A56" t="s">
        <v>119</v>
      </c>
      <c r="B56" t="s">
        <v>120</v>
      </c>
      <c r="C56" t="s">
        <v>113</v>
      </c>
      <c r="D56" t="s">
        <v>114</v>
      </c>
    </row>
    <row r="57" spans="1:4" x14ac:dyDescent="0.35">
      <c r="A57" t="s">
        <v>121</v>
      </c>
      <c r="B57" t="s">
        <v>122</v>
      </c>
      <c r="C57" t="s">
        <v>113</v>
      </c>
      <c r="D57" t="s">
        <v>114</v>
      </c>
    </row>
    <row r="58" spans="1:4" x14ac:dyDescent="0.35">
      <c r="A58" t="s">
        <v>123</v>
      </c>
      <c r="B58" t="s">
        <v>124</v>
      </c>
      <c r="C58" t="s">
        <v>113</v>
      </c>
      <c r="D58" t="s">
        <v>114</v>
      </c>
    </row>
    <row r="59" spans="1:4" x14ac:dyDescent="0.35">
      <c r="A59" t="s">
        <v>125</v>
      </c>
      <c r="B59" t="s">
        <v>126</v>
      </c>
      <c r="C59" t="s">
        <v>113</v>
      </c>
      <c r="D59" t="s">
        <v>114</v>
      </c>
    </row>
    <row r="60" spans="1:4" x14ac:dyDescent="0.35">
      <c r="A60" t="s">
        <v>127</v>
      </c>
      <c r="B60" t="s">
        <v>128</v>
      </c>
      <c r="C60" t="s">
        <v>113</v>
      </c>
      <c r="D60" t="s">
        <v>114</v>
      </c>
    </row>
    <row r="61" spans="1:4" x14ac:dyDescent="0.35">
      <c r="A61" t="s">
        <v>129</v>
      </c>
      <c r="B61" t="s">
        <v>130</v>
      </c>
      <c r="C61" t="s">
        <v>113</v>
      </c>
      <c r="D61" t="s">
        <v>114</v>
      </c>
    </row>
    <row r="62" spans="1:4" x14ac:dyDescent="0.35">
      <c r="A62" t="s">
        <v>48</v>
      </c>
      <c r="B62" t="s">
        <v>49</v>
      </c>
      <c r="C62" t="s">
        <v>1138</v>
      </c>
      <c r="D62" t="s">
        <v>50</v>
      </c>
    </row>
    <row r="63" spans="1:4" x14ac:dyDescent="0.35">
      <c r="A63" t="s">
        <v>393</v>
      </c>
      <c r="B63" t="s">
        <v>394</v>
      </c>
      <c r="C63" t="s">
        <v>395</v>
      </c>
      <c r="D63" t="s">
        <v>396</v>
      </c>
    </row>
    <row r="64" spans="1:4" x14ac:dyDescent="0.35">
      <c r="A64" t="s">
        <v>876</v>
      </c>
      <c r="B64" t="s">
        <v>877</v>
      </c>
      <c r="C64" t="s">
        <v>1265</v>
      </c>
      <c r="D64" t="s">
        <v>878</v>
      </c>
    </row>
    <row r="65" spans="1:4" x14ac:dyDescent="0.35">
      <c r="A65" t="s">
        <v>98</v>
      </c>
      <c r="B65" t="s">
        <v>99</v>
      </c>
      <c r="C65" t="s">
        <v>100</v>
      </c>
      <c r="D65" t="s">
        <v>101</v>
      </c>
    </row>
    <row r="66" spans="1:4" x14ac:dyDescent="0.35">
      <c r="A66" t="s">
        <v>102</v>
      </c>
      <c r="B66" t="s">
        <v>103</v>
      </c>
      <c r="C66" t="s">
        <v>100</v>
      </c>
      <c r="D66" t="s">
        <v>101</v>
      </c>
    </row>
    <row r="67" spans="1:4" x14ac:dyDescent="0.35">
      <c r="A67" t="s">
        <v>390</v>
      </c>
      <c r="B67" t="s">
        <v>391</v>
      </c>
      <c r="C67" t="s">
        <v>1186</v>
      </c>
      <c r="D67" t="s">
        <v>392</v>
      </c>
    </row>
    <row r="68" spans="1:4" x14ac:dyDescent="0.35">
      <c r="A68" t="s">
        <v>1028</v>
      </c>
      <c r="B68" t="s">
        <v>1029</v>
      </c>
      <c r="C68" t="s">
        <v>1283</v>
      </c>
      <c r="D68" t="s">
        <v>1030</v>
      </c>
    </row>
    <row r="69" spans="1:4" x14ac:dyDescent="0.35">
      <c r="A69" t="s">
        <v>346</v>
      </c>
      <c r="B69" t="s">
        <v>347</v>
      </c>
      <c r="C69" t="s">
        <v>348</v>
      </c>
      <c r="D69" t="s">
        <v>349</v>
      </c>
    </row>
    <row r="70" spans="1:4" x14ac:dyDescent="0.35">
      <c r="A70" t="s">
        <v>142</v>
      </c>
      <c r="B70" t="s">
        <v>143</v>
      </c>
      <c r="C70" t="s">
        <v>144</v>
      </c>
      <c r="D70" t="s">
        <v>145</v>
      </c>
    </row>
    <row r="71" spans="1:4" x14ac:dyDescent="0.35">
      <c r="A71" t="s">
        <v>146</v>
      </c>
      <c r="B71" t="s">
        <v>147</v>
      </c>
      <c r="C71" t="s">
        <v>144</v>
      </c>
      <c r="D71" t="s">
        <v>145</v>
      </c>
    </row>
    <row r="72" spans="1:4" x14ac:dyDescent="0.35">
      <c r="A72" t="s">
        <v>800</v>
      </c>
      <c r="B72" t="s">
        <v>801</v>
      </c>
      <c r="C72" t="s">
        <v>1255</v>
      </c>
      <c r="D72" t="s">
        <v>802</v>
      </c>
    </row>
    <row r="73" spans="1:4" x14ac:dyDescent="0.35">
      <c r="A73" t="s">
        <v>803</v>
      </c>
      <c r="B73" t="s">
        <v>804</v>
      </c>
      <c r="C73" t="s">
        <v>1255</v>
      </c>
      <c r="D73" t="s">
        <v>802</v>
      </c>
    </row>
    <row r="74" spans="1:4" x14ac:dyDescent="0.35">
      <c r="A74" t="s">
        <v>805</v>
      </c>
      <c r="B74" t="s">
        <v>806</v>
      </c>
      <c r="C74" t="s">
        <v>1255</v>
      </c>
      <c r="D74" t="s">
        <v>802</v>
      </c>
    </row>
    <row r="75" spans="1:4" x14ac:dyDescent="0.35">
      <c r="A75" t="s">
        <v>882</v>
      </c>
      <c r="B75" t="s">
        <v>883</v>
      </c>
      <c r="C75" t="s">
        <v>884</v>
      </c>
      <c r="D75" t="s">
        <v>885</v>
      </c>
    </row>
    <row r="76" spans="1:4" x14ac:dyDescent="0.35">
      <c r="A76" t="s">
        <v>152</v>
      </c>
      <c r="B76" t="s">
        <v>153</v>
      </c>
      <c r="C76" t="s">
        <v>1146</v>
      </c>
      <c r="D76" t="s">
        <v>154</v>
      </c>
    </row>
    <row r="77" spans="1:4" x14ac:dyDescent="0.35">
      <c r="A77" t="s">
        <v>155</v>
      </c>
      <c r="B77" t="s">
        <v>156</v>
      </c>
      <c r="C77" t="s">
        <v>1146</v>
      </c>
      <c r="D77" t="s">
        <v>154</v>
      </c>
    </row>
    <row r="78" spans="1:4" x14ac:dyDescent="0.35">
      <c r="A78" t="s">
        <v>157</v>
      </c>
      <c r="B78" t="s">
        <v>158</v>
      </c>
      <c r="C78" t="s">
        <v>1146</v>
      </c>
      <c r="D78" t="s">
        <v>154</v>
      </c>
    </row>
    <row r="79" spans="1:4" x14ac:dyDescent="0.35">
      <c r="A79" t="s">
        <v>159</v>
      </c>
      <c r="B79" t="s">
        <v>160</v>
      </c>
      <c r="C79" t="s">
        <v>1146</v>
      </c>
      <c r="D79" t="s">
        <v>154</v>
      </c>
    </row>
    <row r="80" spans="1:4" x14ac:dyDescent="0.35">
      <c r="A80" t="s">
        <v>454</v>
      </c>
      <c r="B80" t="s">
        <v>455</v>
      </c>
      <c r="C80" t="s">
        <v>456</v>
      </c>
      <c r="D80" t="s">
        <v>457</v>
      </c>
    </row>
    <row r="81" spans="1:4" x14ac:dyDescent="0.35">
      <c r="A81" t="s">
        <v>215</v>
      </c>
      <c r="B81" t="s">
        <v>216</v>
      </c>
      <c r="C81" t="s">
        <v>1153</v>
      </c>
      <c r="D81" t="s">
        <v>217</v>
      </c>
    </row>
    <row r="82" spans="1:4" x14ac:dyDescent="0.35">
      <c r="A82" t="s">
        <v>278</v>
      </c>
      <c r="B82" t="s">
        <v>279</v>
      </c>
      <c r="C82" t="s">
        <v>1166</v>
      </c>
      <c r="D82" t="s">
        <v>280</v>
      </c>
    </row>
    <row r="83" spans="1:4" x14ac:dyDescent="0.35">
      <c r="A83" t="s">
        <v>281</v>
      </c>
      <c r="B83" t="s">
        <v>282</v>
      </c>
      <c r="C83" t="s">
        <v>1166</v>
      </c>
      <c r="D83" t="s">
        <v>280</v>
      </c>
    </row>
    <row r="84" spans="1:4" x14ac:dyDescent="0.35">
      <c r="A84" t="s">
        <v>283</v>
      </c>
      <c r="B84" t="s">
        <v>284</v>
      </c>
      <c r="C84" t="s">
        <v>1166</v>
      </c>
      <c r="D84" t="s">
        <v>280</v>
      </c>
    </row>
    <row r="85" spans="1:4" x14ac:dyDescent="0.35">
      <c r="A85" t="s">
        <v>285</v>
      </c>
      <c r="B85" t="s">
        <v>286</v>
      </c>
      <c r="C85" t="s">
        <v>1166</v>
      </c>
      <c r="D85" t="s">
        <v>280</v>
      </c>
    </row>
    <row r="86" spans="1:4" x14ac:dyDescent="0.35">
      <c r="A86" t="s">
        <v>87</v>
      </c>
      <c r="B86" t="s">
        <v>88</v>
      </c>
      <c r="C86" t="s">
        <v>89</v>
      </c>
      <c r="D86" t="s">
        <v>90</v>
      </c>
    </row>
    <row r="87" spans="1:4" x14ac:dyDescent="0.35">
      <c r="A87" t="s">
        <v>656</v>
      </c>
      <c r="B87" t="s">
        <v>657</v>
      </c>
      <c r="C87" t="s">
        <v>1228</v>
      </c>
      <c r="D87" t="s">
        <v>658</v>
      </c>
    </row>
    <row r="88" spans="1:4" x14ac:dyDescent="0.35">
      <c r="A88" t="s">
        <v>492</v>
      </c>
      <c r="B88" t="s">
        <v>493</v>
      </c>
      <c r="C88" t="s">
        <v>1202</v>
      </c>
      <c r="D88" t="s">
        <v>494</v>
      </c>
    </row>
    <row r="89" spans="1:4" x14ac:dyDescent="0.35">
      <c r="A89" t="s">
        <v>647</v>
      </c>
      <c r="B89" t="s">
        <v>648</v>
      </c>
      <c r="C89" t="s">
        <v>1227</v>
      </c>
      <c r="D89" t="s">
        <v>649</v>
      </c>
    </row>
    <row r="90" spans="1:4" x14ac:dyDescent="0.35">
      <c r="A90" t="s">
        <v>650</v>
      </c>
      <c r="B90" t="s">
        <v>651</v>
      </c>
      <c r="C90" t="s">
        <v>1227</v>
      </c>
      <c r="D90" t="s">
        <v>649</v>
      </c>
    </row>
    <row r="91" spans="1:4" x14ac:dyDescent="0.35">
      <c r="A91" t="s">
        <v>922</v>
      </c>
      <c r="B91" t="s">
        <v>923</v>
      </c>
      <c r="C91" t="s">
        <v>924</v>
      </c>
      <c r="D91" t="s">
        <v>925</v>
      </c>
    </row>
    <row r="92" spans="1:4" x14ac:dyDescent="0.35">
      <c r="A92" t="s">
        <v>652</v>
      </c>
      <c r="B92" t="s">
        <v>653</v>
      </c>
      <c r="C92" t="s">
        <v>654</v>
      </c>
      <c r="D92" t="s">
        <v>655</v>
      </c>
    </row>
    <row r="93" spans="1:4" x14ac:dyDescent="0.35">
      <c r="A93" t="s">
        <v>189</v>
      </c>
      <c r="B93" t="s">
        <v>190</v>
      </c>
      <c r="C93" t="s">
        <v>191</v>
      </c>
      <c r="D93" t="s">
        <v>192</v>
      </c>
    </row>
    <row r="94" spans="1:4" x14ac:dyDescent="0.35">
      <c r="A94" t="s">
        <v>193</v>
      </c>
      <c r="B94" t="s">
        <v>194</v>
      </c>
      <c r="C94" t="s">
        <v>191</v>
      </c>
      <c r="D94" t="s">
        <v>192</v>
      </c>
    </row>
    <row r="95" spans="1:4" x14ac:dyDescent="0.35">
      <c r="A95" t="s">
        <v>195</v>
      </c>
      <c r="B95" t="s">
        <v>196</v>
      </c>
      <c r="C95" t="s">
        <v>191</v>
      </c>
      <c r="D95" t="s">
        <v>192</v>
      </c>
    </row>
    <row r="96" spans="1:4" x14ac:dyDescent="0.35">
      <c r="A96" t="s">
        <v>197</v>
      </c>
      <c r="B96" t="s">
        <v>198</v>
      </c>
      <c r="C96" t="s">
        <v>191</v>
      </c>
      <c r="D96" t="s">
        <v>192</v>
      </c>
    </row>
    <row r="97" spans="1:4" x14ac:dyDescent="0.35">
      <c r="A97" t="s">
        <v>199</v>
      </c>
      <c r="B97" t="s">
        <v>200</v>
      </c>
      <c r="C97" t="s">
        <v>191</v>
      </c>
      <c r="D97" t="s">
        <v>192</v>
      </c>
    </row>
    <row r="98" spans="1:4" x14ac:dyDescent="0.35">
      <c r="A98" t="s">
        <v>201</v>
      </c>
      <c r="B98" t="s">
        <v>202</v>
      </c>
      <c r="C98" t="s">
        <v>191</v>
      </c>
      <c r="D98" t="s">
        <v>192</v>
      </c>
    </row>
    <row r="99" spans="1:4" x14ac:dyDescent="0.35">
      <c r="A99" t="s">
        <v>203</v>
      </c>
      <c r="B99" t="s">
        <v>204</v>
      </c>
      <c r="C99" t="s">
        <v>191</v>
      </c>
      <c r="D99" t="s">
        <v>192</v>
      </c>
    </row>
    <row r="100" spans="1:4" x14ac:dyDescent="0.35">
      <c r="A100" t="s">
        <v>205</v>
      </c>
      <c r="B100" t="s">
        <v>206</v>
      </c>
      <c r="C100" t="s">
        <v>191</v>
      </c>
      <c r="D100" t="s">
        <v>192</v>
      </c>
    </row>
    <row r="101" spans="1:4" x14ac:dyDescent="0.35">
      <c r="A101" t="s">
        <v>207</v>
      </c>
      <c r="B101" t="s">
        <v>208</v>
      </c>
      <c r="C101" t="s">
        <v>191</v>
      </c>
      <c r="D101" t="s">
        <v>192</v>
      </c>
    </row>
    <row r="102" spans="1:4" x14ac:dyDescent="0.35">
      <c r="A102" t="s">
        <v>209</v>
      </c>
      <c r="B102" t="s">
        <v>210</v>
      </c>
      <c r="C102" t="s">
        <v>191</v>
      </c>
      <c r="D102" t="s">
        <v>192</v>
      </c>
    </row>
    <row r="103" spans="1:4" x14ac:dyDescent="0.35">
      <c r="A103" t="s">
        <v>211</v>
      </c>
      <c r="B103" t="s">
        <v>212</v>
      </c>
      <c r="C103" t="s">
        <v>191</v>
      </c>
      <c r="D103" t="s">
        <v>192</v>
      </c>
    </row>
    <row r="104" spans="1:4" x14ac:dyDescent="0.35">
      <c r="A104" t="s">
        <v>213</v>
      </c>
      <c r="B104" t="s">
        <v>214</v>
      </c>
      <c r="C104" t="s">
        <v>191</v>
      </c>
      <c r="D104" t="s">
        <v>192</v>
      </c>
    </row>
    <row r="105" spans="1:4" x14ac:dyDescent="0.35">
      <c r="A105" t="s">
        <v>993</v>
      </c>
      <c r="B105" t="s">
        <v>994</v>
      </c>
      <c r="C105" t="s">
        <v>1280</v>
      </c>
      <c r="D105" t="s">
        <v>995</v>
      </c>
    </row>
    <row r="106" spans="1:4" x14ac:dyDescent="0.35">
      <c r="A106" t="s">
        <v>1031</v>
      </c>
      <c r="B106" t="s">
        <v>1032</v>
      </c>
      <c r="C106" t="s">
        <v>1284</v>
      </c>
      <c r="D106" t="s">
        <v>1033</v>
      </c>
    </row>
    <row r="107" spans="1:4" x14ac:dyDescent="0.35">
      <c r="A107" t="s">
        <v>1034</v>
      </c>
      <c r="B107" t="s">
        <v>1035</v>
      </c>
      <c r="C107" t="s">
        <v>1284</v>
      </c>
      <c r="D107" t="s">
        <v>1033</v>
      </c>
    </row>
    <row r="108" spans="1:4" x14ac:dyDescent="0.35">
      <c r="A108" t="s">
        <v>1036</v>
      </c>
      <c r="B108" t="s">
        <v>1037</v>
      </c>
      <c r="C108" t="s">
        <v>1284</v>
      </c>
      <c r="D108" t="s">
        <v>1033</v>
      </c>
    </row>
    <row r="109" spans="1:4" x14ac:dyDescent="0.35">
      <c r="A109" t="s">
        <v>766</v>
      </c>
      <c r="B109" t="s">
        <v>767</v>
      </c>
      <c r="C109" t="s">
        <v>768</v>
      </c>
      <c r="D109" t="s">
        <v>769</v>
      </c>
    </row>
    <row r="110" spans="1:4" x14ac:dyDescent="0.35">
      <c r="A110" t="s">
        <v>175</v>
      </c>
      <c r="B110" t="s">
        <v>176</v>
      </c>
      <c r="C110" t="s">
        <v>177</v>
      </c>
      <c r="D110" t="s">
        <v>178</v>
      </c>
    </row>
    <row r="111" spans="1:4" x14ac:dyDescent="0.35">
      <c r="A111" t="s">
        <v>592</v>
      </c>
      <c r="B111" t="s">
        <v>593</v>
      </c>
      <c r="C111" t="s">
        <v>1218</v>
      </c>
      <c r="D111" t="s">
        <v>594</v>
      </c>
    </row>
    <row r="112" spans="1:4" x14ac:dyDescent="0.35">
      <c r="A112" t="s">
        <v>965</v>
      </c>
      <c r="B112" t="s">
        <v>966</v>
      </c>
      <c r="C112" t="s">
        <v>967</v>
      </c>
      <c r="D112" t="s">
        <v>968</v>
      </c>
    </row>
    <row r="113" spans="1:4" x14ac:dyDescent="0.35">
      <c r="A113" t="s">
        <v>969</v>
      </c>
      <c r="B113" t="s">
        <v>970</v>
      </c>
      <c r="C113" t="s">
        <v>967</v>
      </c>
      <c r="D113" t="s">
        <v>968</v>
      </c>
    </row>
    <row r="114" spans="1:4" x14ac:dyDescent="0.35">
      <c r="A114" t="s">
        <v>511</v>
      </c>
      <c r="B114" t="s">
        <v>512</v>
      </c>
      <c r="C114" t="s">
        <v>513</v>
      </c>
      <c r="D114" t="s">
        <v>514</v>
      </c>
    </row>
    <row r="115" spans="1:4" x14ac:dyDescent="0.35">
      <c r="A115" t="s">
        <v>321</v>
      </c>
      <c r="B115" t="s">
        <v>322</v>
      </c>
      <c r="C115" t="s">
        <v>323</v>
      </c>
      <c r="D115" t="s">
        <v>324</v>
      </c>
    </row>
    <row r="116" spans="1:4" x14ac:dyDescent="0.35">
      <c r="A116" t="s">
        <v>852</v>
      </c>
      <c r="B116" t="s">
        <v>853</v>
      </c>
      <c r="C116" t="s">
        <v>1261</v>
      </c>
      <c r="D116" t="s">
        <v>854</v>
      </c>
    </row>
    <row r="117" spans="1:4" x14ac:dyDescent="0.35">
      <c r="A117" t="s">
        <v>297</v>
      </c>
      <c r="B117" t="s">
        <v>298</v>
      </c>
      <c r="C117" t="s">
        <v>1169</v>
      </c>
      <c r="D117" t="s">
        <v>299</v>
      </c>
    </row>
    <row r="118" spans="1:4" x14ac:dyDescent="0.35">
      <c r="A118" t="s">
        <v>975</v>
      </c>
      <c r="B118" t="s">
        <v>976</v>
      </c>
      <c r="C118" t="s">
        <v>1279</v>
      </c>
      <c r="D118" t="s">
        <v>977</v>
      </c>
    </row>
    <row r="119" spans="1:4" x14ac:dyDescent="0.35">
      <c r="A119" t="s">
        <v>559</v>
      </c>
      <c r="B119" t="s">
        <v>560</v>
      </c>
      <c r="C119" t="s">
        <v>561</v>
      </c>
      <c r="D119" t="s">
        <v>562</v>
      </c>
    </row>
    <row r="120" spans="1:4" x14ac:dyDescent="0.35">
      <c r="A120" t="s">
        <v>311</v>
      </c>
      <c r="B120" t="s">
        <v>312</v>
      </c>
      <c r="C120" t="s">
        <v>1171</v>
      </c>
      <c r="D120" t="s">
        <v>313</v>
      </c>
    </row>
    <row r="121" spans="1:4" x14ac:dyDescent="0.35">
      <c r="A121" t="s">
        <v>823</v>
      </c>
      <c r="B121" t="s">
        <v>824</v>
      </c>
      <c r="C121" t="s">
        <v>1256</v>
      </c>
      <c r="D121" t="s">
        <v>825</v>
      </c>
    </row>
    <row r="122" spans="1:4" x14ac:dyDescent="0.35">
      <c r="A122" t="s">
        <v>422</v>
      </c>
      <c r="B122" t="s">
        <v>423</v>
      </c>
      <c r="C122" t="s">
        <v>1192</v>
      </c>
      <c r="D122" t="s">
        <v>424</v>
      </c>
    </row>
    <row r="123" spans="1:4" x14ac:dyDescent="0.35">
      <c r="A123" t="s">
        <v>948</v>
      </c>
      <c r="B123" t="s">
        <v>949</v>
      </c>
      <c r="C123" t="s">
        <v>1278</v>
      </c>
      <c r="D123" t="s">
        <v>950</v>
      </c>
    </row>
    <row r="124" spans="1:4" x14ac:dyDescent="0.35">
      <c r="A124" t="s">
        <v>951</v>
      </c>
      <c r="B124" t="s">
        <v>952</v>
      </c>
      <c r="C124" t="s">
        <v>1278</v>
      </c>
      <c r="D124" t="s">
        <v>950</v>
      </c>
    </row>
    <row r="125" spans="1:4" x14ac:dyDescent="0.35">
      <c r="A125" t="s">
        <v>953</v>
      </c>
      <c r="B125" t="s">
        <v>954</v>
      </c>
      <c r="C125" t="s">
        <v>1278</v>
      </c>
      <c r="D125" t="s">
        <v>950</v>
      </c>
    </row>
    <row r="126" spans="1:4" x14ac:dyDescent="0.35">
      <c r="A126" t="s">
        <v>955</v>
      </c>
      <c r="B126" t="s">
        <v>956</v>
      </c>
      <c r="C126" t="s">
        <v>1278</v>
      </c>
      <c r="D126" t="s">
        <v>950</v>
      </c>
    </row>
    <row r="127" spans="1:4" x14ac:dyDescent="0.35">
      <c r="A127" t="s">
        <v>957</v>
      </c>
      <c r="B127" t="s">
        <v>958</v>
      </c>
      <c r="C127" t="s">
        <v>1278</v>
      </c>
      <c r="D127" t="s">
        <v>950</v>
      </c>
    </row>
    <row r="128" spans="1:4" x14ac:dyDescent="0.35">
      <c r="A128" t="s">
        <v>959</v>
      </c>
      <c r="B128" t="s">
        <v>960</v>
      </c>
      <c r="C128" t="s">
        <v>1278</v>
      </c>
      <c r="D128" t="s">
        <v>950</v>
      </c>
    </row>
    <row r="129" spans="1:4" x14ac:dyDescent="0.35">
      <c r="A129" t="s">
        <v>961</v>
      </c>
      <c r="B129" t="s">
        <v>962</v>
      </c>
      <c r="C129" t="s">
        <v>1278</v>
      </c>
      <c r="D129" t="s">
        <v>950</v>
      </c>
    </row>
    <row r="130" spans="1:4" x14ac:dyDescent="0.35">
      <c r="A130" t="s">
        <v>963</v>
      </c>
      <c r="B130" t="s">
        <v>964</v>
      </c>
      <c r="C130" t="s">
        <v>1278</v>
      </c>
      <c r="D130" t="s">
        <v>950</v>
      </c>
    </row>
    <row r="131" spans="1:4" x14ac:dyDescent="0.35">
      <c r="A131" t="s">
        <v>36</v>
      </c>
      <c r="B131" t="s">
        <v>37</v>
      </c>
      <c r="C131" t="s">
        <v>38</v>
      </c>
      <c r="D131" t="s">
        <v>39</v>
      </c>
    </row>
    <row r="132" spans="1:4" x14ac:dyDescent="0.35">
      <c r="A132" t="s">
        <v>855</v>
      </c>
      <c r="B132" t="s">
        <v>856</v>
      </c>
      <c r="C132" t="s">
        <v>857</v>
      </c>
      <c r="D132" t="s">
        <v>858</v>
      </c>
    </row>
    <row r="133" spans="1:4" x14ac:dyDescent="0.35">
      <c r="A133" t="s">
        <v>659</v>
      </c>
      <c r="B133" t="s">
        <v>660</v>
      </c>
      <c r="C133" t="s">
        <v>661</v>
      </c>
      <c r="D133" t="s">
        <v>662</v>
      </c>
    </row>
    <row r="134" spans="1:4" x14ac:dyDescent="0.35">
      <c r="A134" t="s">
        <v>663</v>
      </c>
      <c r="B134" t="s">
        <v>664</v>
      </c>
      <c r="C134" t="s">
        <v>661</v>
      </c>
      <c r="D134" t="s">
        <v>662</v>
      </c>
    </row>
    <row r="135" spans="1:4" x14ac:dyDescent="0.35">
      <c r="A135" t="s">
        <v>696</v>
      </c>
      <c r="B135" t="s">
        <v>697</v>
      </c>
      <c r="C135" t="s">
        <v>1234</v>
      </c>
      <c r="D135" t="s">
        <v>698</v>
      </c>
    </row>
    <row r="136" spans="1:4" x14ac:dyDescent="0.35">
      <c r="A136" t="s">
        <v>760</v>
      </c>
      <c r="B136" t="s">
        <v>761</v>
      </c>
      <c r="C136" t="s">
        <v>1249</v>
      </c>
      <c r="D136" t="s">
        <v>762</v>
      </c>
    </row>
    <row r="137" spans="1:4" x14ac:dyDescent="0.35">
      <c r="A137" t="s">
        <v>2</v>
      </c>
      <c r="B137" t="s">
        <v>3</v>
      </c>
      <c r="C137" t="s">
        <v>1134</v>
      </c>
      <c r="D137" t="s">
        <v>4</v>
      </c>
    </row>
    <row r="138" spans="1:4" x14ac:dyDescent="0.35">
      <c r="A138" t="s">
        <v>5</v>
      </c>
      <c r="B138" t="s">
        <v>6</v>
      </c>
      <c r="C138" t="s">
        <v>1134</v>
      </c>
      <c r="D138" t="s">
        <v>4</v>
      </c>
    </row>
    <row r="139" spans="1:4" x14ac:dyDescent="0.35">
      <c r="A139" t="s">
        <v>478</v>
      </c>
      <c r="B139" t="s">
        <v>479</v>
      </c>
      <c r="C139" t="s">
        <v>480</v>
      </c>
      <c r="D139" t="s">
        <v>481</v>
      </c>
    </row>
    <row r="140" spans="1:4" x14ac:dyDescent="0.35">
      <c r="A140" t="s">
        <v>1007</v>
      </c>
      <c r="B140" t="s">
        <v>1008</v>
      </c>
      <c r="C140" t="s">
        <v>1009</v>
      </c>
      <c r="D140" t="s">
        <v>1010</v>
      </c>
    </row>
    <row r="141" spans="1:4" x14ac:dyDescent="0.35">
      <c r="A141" t="s">
        <v>1011</v>
      </c>
      <c r="B141" t="s">
        <v>1012</v>
      </c>
      <c r="C141" t="s">
        <v>1009</v>
      </c>
      <c r="D141" t="s">
        <v>1010</v>
      </c>
    </row>
    <row r="142" spans="1:4" x14ac:dyDescent="0.35">
      <c r="A142" t="s">
        <v>1013</v>
      </c>
      <c r="B142" t="s">
        <v>1014</v>
      </c>
      <c r="C142" t="s">
        <v>1009</v>
      </c>
      <c r="D142" t="s">
        <v>1010</v>
      </c>
    </row>
    <row r="143" spans="1:4" x14ac:dyDescent="0.35">
      <c r="A143" t="s">
        <v>1015</v>
      </c>
      <c r="B143" t="s">
        <v>1016</v>
      </c>
      <c r="C143" t="s">
        <v>1009</v>
      </c>
      <c r="D143" t="s">
        <v>1010</v>
      </c>
    </row>
    <row r="144" spans="1:4" x14ac:dyDescent="0.35">
      <c r="A144" t="s">
        <v>1017</v>
      </c>
      <c r="B144" t="s">
        <v>1018</v>
      </c>
      <c r="C144" t="s">
        <v>1009</v>
      </c>
      <c r="D144" t="s">
        <v>1010</v>
      </c>
    </row>
    <row r="145" spans="1:4" x14ac:dyDescent="0.35">
      <c r="A145" t="s">
        <v>1019</v>
      </c>
      <c r="B145" t="s">
        <v>1020</v>
      </c>
      <c r="C145" t="s">
        <v>1009</v>
      </c>
      <c r="D145" t="s">
        <v>1010</v>
      </c>
    </row>
    <row r="146" spans="1:4" x14ac:dyDescent="0.35">
      <c r="A146" t="s">
        <v>1021</v>
      </c>
      <c r="B146" t="s">
        <v>1022</v>
      </c>
      <c r="C146" t="s">
        <v>1009</v>
      </c>
      <c r="D146" t="s">
        <v>1010</v>
      </c>
    </row>
    <row r="147" spans="1:4" x14ac:dyDescent="0.35">
      <c r="A147" t="s">
        <v>1023</v>
      </c>
      <c r="B147" t="s">
        <v>1024</v>
      </c>
      <c r="C147" t="s">
        <v>1009</v>
      </c>
      <c r="D147" t="s">
        <v>1010</v>
      </c>
    </row>
    <row r="148" spans="1:4" x14ac:dyDescent="0.35">
      <c r="A148" t="s">
        <v>360</v>
      </c>
      <c r="B148" t="s">
        <v>361</v>
      </c>
      <c r="C148" t="s">
        <v>1180</v>
      </c>
      <c r="D148" t="s">
        <v>362</v>
      </c>
    </row>
    <row r="149" spans="1:4" x14ac:dyDescent="0.35">
      <c r="A149" t="s">
        <v>1003</v>
      </c>
      <c r="B149" t="s">
        <v>1004</v>
      </c>
      <c r="C149" t="s">
        <v>1005</v>
      </c>
      <c r="D149" t="s">
        <v>1006</v>
      </c>
    </row>
    <row r="150" spans="1:4" x14ac:dyDescent="0.35">
      <c r="A150" t="s">
        <v>546</v>
      </c>
      <c r="B150" t="s">
        <v>547</v>
      </c>
      <c r="C150" t="s">
        <v>1208</v>
      </c>
      <c r="D150" t="s">
        <v>548</v>
      </c>
    </row>
    <row r="151" spans="1:4" x14ac:dyDescent="0.35">
      <c r="A151" t="s">
        <v>108</v>
      </c>
      <c r="B151" t="s">
        <v>109</v>
      </c>
      <c r="C151" t="s">
        <v>1144</v>
      </c>
      <c r="D151" t="s">
        <v>110</v>
      </c>
    </row>
    <row r="152" spans="1:4" x14ac:dyDescent="0.35">
      <c r="A152" t="s">
        <v>549</v>
      </c>
      <c r="B152" t="s">
        <v>550</v>
      </c>
      <c r="C152" t="s">
        <v>1209</v>
      </c>
      <c r="D152" t="s">
        <v>551</v>
      </c>
    </row>
    <row r="153" spans="1:4" x14ac:dyDescent="0.35">
      <c r="A153" t="s">
        <v>595</v>
      </c>
      <c r="B153" t="s">
        <v>596</v>
      </c>
      <c r="C153" t="s">
        <v>1219</v>
      </c>
      <c r="D153" t="s">
        <v>597</v>
      </c>
    </row>
    <row r="154" spans="1:4" x14ac:dyDescent="0.35">
      <c r="A154" t="s">
        <v>598</v>
      </c>
      <c r="B154" t="s">
        <v>599</v>
      </c>
      <c r="C154" t="s">
        <v>1219</v>
      </c>
      <c r="D154" t="s">
        <v>597</v>
      </c>
    </row>
    <row r="155" spans="1:4" x14ac:dyDescent="0.35">
      <c r="A155" t="s">
        <v>600</v>
      </c>
      <c r="B155" t="s">
        <v>601</v>
      </c>
      <c r="C155" t="s">
        <v>1219</v>
      </c>
      <c r="D155" t="s">
        <v>597</v>
      </c>
    </row>
    <row r="156" spans="1:4" x14ac:dyDescent="0.35">
      <c r="A156" t="s">
        <v>576</v>
      </c>
      <c r="B156" t="s">
        <v>577</v>
      </c>
      <c r="C156" t="s">
        <v>1214</v>
      </c>
      <c r="D156" t="s">
        <v>578</v>
      </c>
    </row>
    <row r="157" spans="1:4" x14ac:dyDescent="0.35">
      <c r="A157" t="s">
        <v>1161</v>
      </c>
      <c r="B157" t="s">
        <v>259</v>
      </c>
      <c r="C157" t="s">
        <v>1162</v>
      </c>
      <c r="D157" t="s">
        <v>260</v>
      </c>
    </row>
    <row r="158" spans="1:4" x14ac:dyDescent="0.35">
      <c r="A158" t="s">
        <v>811</v>
      </c>
      <c r="B158" t="s">
        <v>812</v>
      </c>
      <c r="C158" t="s">
        <v>813</v>
      </c>
      <c r="D158" t="s">
        <v>814</v>
      </c>
    </row>
    <row r="159" spans="1:4" x14ac:dyDescent="0.35">
      <c r="A159" t="s">
        <v>336</v>
      </c>
      <c r="B159" t="s">
        <v>337</v>
      </c>
      <c r="C159" t="s">
        <v>1176</v>
      </c>
      <c r="D159" t="s">
        <v>338</v>
      </c>
    </row>
    <row r="160" spans="1:4" x14ac:dyDescent="0.35">
      <c r="A160" t="s">
        <v>807</v>
      </c>
      <c r="B160" t="s">
        <v>808</v>
      </c>
      <c r="C160" t="s">
        <v>809</v>
      </c>
      <c r="D160" t="s">
        <v>810</v>
      </c>
    </row>
    <row r="161" spans="1:4" x14ac:dyDescent="0.35">
      <c r="A161" t="s">
        <v>80</v>
      </c>
      <c r="B161" t="s">
        <v>81</v>
      </c>
      <c r="C161" t="s">
        <v>82</v>
      </c>
      <c r="D161" t="s">
        <v>83</v>
      </c>
    </row>
    <row r="162" spans="1:4" x14ac:dyDescent="0.35">
      <c r="A162" t="s">
        <v>443</v>
      </c>
      <c r="B162" t="s">
        <v>444</v>
      </c>
      <c r="C162" t="s">
        <v>445</v>
      </c>
      <c r="D162" t="s">
        <v>446</v>
      </c>
    </row>
    <row r="163" spans="1:4" x14ac:dyDescent="0.35">
      <c r="A163" t="s">
        <v>792</v>
      </c>
      <c r="B163" t="s">
        <v>793</v>
      </c>
      <c r="C163" t="s">
        <v>1253</v>
      </c>
      <c r="D163" t="s">
        <v>794</v>
      </c>
    </row>
    <row r="164" spans="1:4" x14ac:dyDescent="0.35">
      <c r="A164" t="s">
        <v>795</v>
      </c>
      <c r="B164" t="s">
        <v>796</v>
      </c>
      <c r="C164" t="s">
        <v>1253</v>
      </c>
      <c r="D164" t="s">
        <v>794</v>
      </c>
    </row>
    <row r="165" spans="1:4" x14ac:dyDescent="0.35">
      <c r="A165" t="s">
        <v>750</v>
      </c>
      <c r="B165" t="s">
        <v>751</v>
      </c>
      <c r="C165" t="s">
        <v>1247</v>
      </c>
      <c r="D165" t="s">
        <v>752</v>
      </c>
    </row>
    <row r="166" spans="1:4" x14ac:dyDescent="0.35">
      <c r="A166" t="s">
        <v>482</v>
      </c>
      <c r="B166" t="s">
        <v>483</v>
      </c>
      <c r="C166" t="s">
        <v>484</v>
      </c>
      <c r="D166" t="s">
        <v>485</v>
      </c>
    </row>
    <row r="167" spans="1:4" x14ac:dyDescent="0.35">
      <c r="A167" t="s">
        <v>690</v>
      </c>
      <c r="B167" t="s">
        <v>691</v>
      </c>
      <c r="C167" t="s">
        <v>1232</v>
      </c>
      <c r="D167" t="s">
        <v>692</v>
      </c>
    </row>
    <row r="168" spans="1:4" x14ac:dyDescent="0.35">
      <c r="A168" t="s">
        <v>183</v>
      </c>
      <c r="B168" t="s">
        <v>184</v>
      </c>
      <c r="C168" t="s">
        <v>1151</v>
      </c>
      <c r="D168" t="s">
        <v>185</v>
      </c>
    </row>
    <row r="169" spans="1:4" x14ac:dyDescent="0.35">
      <c r="A169" t="s">
        <v>404</v>
      </c>
      <c r="B169" t="s">
        <v>405</v>
      </c>
      <c r="C169" t="s">
        <v>1188</v>
      </c>
      <c r="D169" t="s">
        <v>406</v>
      </c>
    </row>
    <row r="170" spans="1:4" x14ac:dyDescent="0.35">
      <c r="A170" t="s">
        <v>586</v>
      </c>
      <c r="B170" t="s">
        <v>587</v>
      </c>
      <c r="C170" t="s">
        <v>1216</v>
      </c>
      <c r="D170" t="s">
        <v>588</v>
      </c>
    </row>
    <row r="171" spans="1:4" x14ac:dyDescent="0.35">
      <c r="A171" t="s">
        <v>832</v>
      </c>
      <c r="B171" t="s">
        <v>833</v>
      </c>
      <c r="C171" t="s">
        <v>1259</v>
      </c>
      <c r="D171" t="s">
        <v>834</v>
      </c>
    </row>
    <row r="172" spans="1:4" x14ac:dyDescent="0.35">
      <c r="A172" t="s">
        <v>489</v>
      </c>
      <c r="B172" t="s">
        <v>490</v>
      </c>
      <c r="C172" t="s">
        <v>1201</v>
      </c>
      <c r="D172" t="s">
        <v>491</v>
      </c>
    </row>
    <row r="173" spans="1:4" x14ac:dyDescent="0.35">
      <c r="A173" t="s">
        <v>414</v>
      </c>
      <c r="B173" t="s">
        <v>415</v>
      </c>
      <c r="C173" t="s">
        <v>1190</v>
      </c>
      <c r="D173" t="s">
        <v>416</v>
      </c>
    </row>
    <row r="174" spans="1:4" x14ac:dyDescent="0.35">
      <c r="A174" t="s">
        <v>417</v>
      </c>
      <c r="B174" t="s">
        <v>418</v>
      </c>
      <c r="C174" t="s">
        <v>1190</v>
      </c>
      <c r="D174" t="s">
        <v>416</v>
      </c>
    </row>
    <row r="175" spans="1:4" x14ac:dyDescent="0.35">
      <c r="A175" t="s">
        <v>255</v>
      </c>
      <c r="B175" t="s">
        <v>256</v>
      </c>
      <c r="C175" t="s">
        <v>257</v>
      </c>
      <c r="D175" t="s">
        <v>258</v>
      </c>
    </row>
    <row r="176" spans="1:4" x14ac:dyDescent="0.35">
      <c r="A176" t="s">
        <v>343</v>
      </c>
      <c r="B176" t="s">
        <v>344</v>
      </c>
      <c r="C176" t="s">
        <v>1177</v>
      </c>
      <c r="D176" t="s">
        <v>345</v>
      </c>
    </row>
    <row r="177" spans="1:4" x14ac:dyDescent="0.35">
      <c r="A177" t="s">
        <v>579</v>
      </c>
      <c r="B177" t="s">
        <v>580</v>
      </c>
      <c r="C177" t="s">
        <v>581</v>
      </c>
      <c r="D177" t="s">
        <v>582</v>
      </c>
    </row>
    <row r="178" spans="1:4" x14ac:dyDescent="0.35">
      <c r="A178" t="s">
        <v>397</v>
      </c>
      <c r="B178" t="s">
        <v>398</v>
      </c>
      <c r="C178" t="s">
        <v>399</v>
      </c>
      <c r="D178" t="s">
        <v>400</v>
      </c>
    </row>
    <row r="179" spans="1:4" x14ac:dyDescent="0.35">
      <c r="A179" t="s">
        <v>317</v>
      </c>
      <c r="B179" t="s">
        <v>318</v>
      </c>
      <c r="C179" t="s">
        <v>319</v>
      </c>
      <c r="D179" t="s">
        <v>320</v>
      </c>
    </row>
    <row r="180" spans="1:4" x14ac:dyDescent="0.35">
      <c r="A180" t="s">
        <v>826</v>
      </c>
      <c r="B180" t="s">
        <v>827</v>
      </c>
      <c r="C180" t="s">
        <v>1257</v>
      </c>
      <c r="D180" t="s">
        <v>828</v>
      </c>
    </row>
    <row r="181" spans="1:4" x14ac:dyDescent="0.35">
      <c r="A181" t="s">
        <v>383</v>
      </c>
      <c r="B181" t="s">
        <v>384</v>
      </c>
      <c r="C181" t="s">
        <v>1185</v>
      </c>
      <c r="D181" t="s">
        <v>385</v>
      </c>
    </row>
    <row r="182" spans="1:4" x14ac:dyDescent="0.35">
      <c r="A182" t="s">
        <v>629</v>
      </c>
      <c r="B182" t="s">
        <v>630</v>
      </c>
      <c r="C182" t="s">
        <v>631</v>
      </c>
      <c r="D182" t="s">
        <v>632</v>
      </c>
    </row>
    <row r="183" spans="1:4" x14ac:dyDescent="0.35">
      <c r="A183" t="s">
        <v>612</v>
      </c>
      <c r="B183" t="s">
        <v>613</v>
      </c>
      <c r="C183" t="s">
        <v>1222</v>
      </c>
      <c r="D183" t="s">
        <v>614</v>
      </c>
    </row>
    <row r="184" spans="1:4" x14ac:dyDescent="0.35">
      <c r="A184" t="s">
        <v>468</v>
      </c>
      <c r="B184" t="s">
        <v>469</v>
      </c>
      <c r="C184" t="s">
        <v>470</v>
      </c>
      <c r="D184" t="s">
        <v>471</v>
      </c>
    </row>
    <row r="185" spans="1:4" x14ac:dyDescent="0.35">
      <c r="A185" t="s">
        <v>889</v>
      </c>
      <c r="B185" t="s">
        <v>890</v>
      </c>
      <c r="C185" t="s">
        <v>1268</v>
      </c>
      <c r="D185" t="s">
        <v>888</v>
      </c>
    </row>
    <row r="186" spans="1:4" x14ac:dyDescent="0.35">
      <c r="A186" t="s">
        <v>891</v>
      </c>
      <c r="B186" t="s">
        <v>892</v>
      </c>
      <c r="C186" t="s">
        <v>1268</v>
      </c>
      <c r="D186" t="s">
        <v>888</v>
      </c>
    </row>
    <row r="187" spans="1:4" x14ac:dyDescent="0.35">
      <c r="A187" t="s">
        <v>172</v>
      </c>
      <c r="B187" t="s">
        <v>173</v>
      </c>
      <c r="C187" t="s">
        <v>1150</v>
      </c>
      <c r="D187" t="s">
        <v>174</v>
      </c>
    </row>
    <row r="188" spans="1:4" x14ac:dyDescent="0.35">
      <c r="A188" t="s">
        <v>879</v>
      </c>
      <c r="B188" t="s">
        <v>880</v>
      </c>
      <c r="C188" t="s">
        <v>1266</v>
      </c>
      <c r="D188" t="s">
        <v>881</v>
      </c>
    </row>
    <row r="189" spans="1:4" x14ac:dyDescent="0.35">
      <c r="A189" t="s">
        <v>835</v>
      </c>
      <c r="B189" t="s">
        <v>836</v>
      </c>
      <c r="C189" t="s">
        <v>837</v>
      </c>
      <c r="D189" t="s">
        <v>838</v>
      </c>
    </row>
    <row r="190" spans="1:4" x14ac:dyDescent="0.35">
      <c r="A190" t="s">
        <v>915</v>
      </c>
      <c r="B190" t="s">
        <v>916</v>
      </c>
      <c r="C190" t="s">
        <v>1275</v>
      </c>
      <c r="D190" t="s">
        <v>917</v>
      </c>
    </row>
    <row r="191" spans="1:4" x14ac:dyDescent="0.35">
      <c r="A191" t="s">
        <v>515</v>
      </c>
      <c r="B191" t="s">
        <v>516</v>
      </c>
      <c r="C191" t="s">
        <v>1205</v>
      </c>
      <c r="D191" t="s">
        <v>517</v>
      </c>
    </row>
    <row r="192" spans="1:4" x14ac:dyDescent="0.35">
      <c r="A192" t="s">
        <v>909</v>
      </c>
      <c r="B192" t="s">
        <v>910</v>
      </c>
      <c r="C192" t="s">
        <v>1273</v>
      </c>
      <c r="D192" t="s">
        <v>911</v>
      </c>
    </row>
    <row r="193" spans="1:4" x14ac:dyDescent="0.35">
      <c r="A193" t="s">
        <v>723</v>
      </c>
      <c r="B193" t="s">
        <v>724</v>
      </c>
      <c r="C193" t="s">
        <v>1242</v>
      </c>
      <c r="D193" t="s">
        <v>725</v>
      </c>
    </row>
    <row r="194" spans="1:4" x14ac:dyDescent="0.35">
      <c r="A194" t="s">
        <v>669</v>
      </c>
      <c r="B194" t="s">
        <v>670</v>
      </c>
      <c r="C194" t="s">
        <v>1229</v>
      </c>
      <c r="D194" t="s">
        <v>671</v>
      </c>
    </row>
    <row r="195" spans="1:4" x14ac:dyDescent="0.35">
      <c r="A195" t="s">
        <v>784</v>
      </c>
      <c r="B195" t="s">
        <v>785</v>
      </c>
      <c r="C195" t="s">
        <v>786</v>
      </c>
      <c r="D195" t="s">
        <v>787</v>
      </c>
    </row>
    <row r="196" spans="1:4" x14ac:dyDescent="0.35">
      <c r="A196" t="s">
        <v>363</v>
      </c>
      <c r="B196" t="s">
        <v>364</v>
      </c>
      <c r="C196" t="s">
        <v>365</v>
      </c>
      <c r="D196" t="s">
        <v>366</v>
      </c>
    </row>
    <row r="197" spans="1:4" x14ac:dyDescent="0.35">
      <c r="A197" t="s">
        <v>148</v>
      </c>
      <c r="B197" t="s">
        <v>149</v>
      </c>
      <c r="C197" t="s">
        <v>150</v>
      </c>
      <c r="D197" t="s">
        <v>151</v>
      </c>
    </row>
    <row r="198" spans="1:4" x14ac:dyDescent="0.35">
      <c r="A198" t="s">
        <v>714</v>
      </c>
      <c r="B198" t="s">
        <v>715</v>
      </c>
      <c r="C198" t="s">
        <v>1239</v>
      </c>
      <c r="D198" t="s">
        <v>716</v>
      </c>
    </row>
    <row r="199" spans="1:4" x14ac:dyDescent="0.35">
      <c r="A199" t="s">
        <v>903</v>
      </c>
      <c r="B199" t="s">
        <v>904</v>
      </c>
      <c r="C199" t="s">
        <v>1271</v>
      </c>
      <c r="D199" t="s">
        <v>905</v>
      </c>
    </row>
    <row r="200" spans="1:4" x14ac:dyDescent="0.35">
      <c r="A200" t="s">
        <v>518</v>
      </c>
      <c r="B200" t="s">
        <v>519</v>
      </c>
      <c r="C200" t="s">
        <v>520</v>
      </c>
      <c r="D200" t="s">
        <v>521</v>
      </c>
    </row>
    <row r="201" spans="1:4" x14ac:dyDescent="0.35">
      <c r="A201" t="s">
        <v>179</v>
      </c>
      <c r="B201" t="s">
        <v>180</v>
      </c>
      <c r="C201" t="s">
        <v>181</v>
      </c>
      <c r="D201" t="s">
        <v>182</v>
      </c>
    </row>
    <row r="202" spans="1:4" x14ac:dyDescent="0.35">
      <c r="A202" t="s">
        <v>161</v>
      </c>
      <c r="B202" t="s">
        <v>162</v>
      </c>
      <c r="C202" t="s">
        <v>1147</v>
      </c>
      <c r="D202" t="s">
        <v>163</v>
      </c>
    </row>
    <row r="203" spans="1:4" x14ac:dyDescent="0.35">
      <c r="A203" t="s">
        <v>252</v>
      </c>
      <c r="B203" t="s">
        <v>253</v>
      </c>
      <c r="C203" t="s">
        <v>1160</v>
      </c>
      <c r="D203" t="s">
        <v>254</v>
      </c>
    </row>
    <row r="204" spans="1:4" x14ac:dyDescent="0.35">
      <c r="A204" t="s">
        <v>640</v>
      </c>
      <c r="B204" t="s">
        <v>641</v>
      </c>
      <c r="C204" t="s">
        <v>1226</v>
      </c>
      <c r="D204" t="s">
        <v>642</v>
      </c>
    </row>
    <row r="205" spans="1:4" x14ac:dyDescent="0.35">
      <c r="A205" t="s">
        <v>606</v>
      </c>
      <c r="B205" t="s">
        <v>607</v>
      </c>
      <c r="C205" t="s">
        <v>1220</v>
      </c>
      <c r="D205" t="s">
        <v>608</v>
      </c>
    </row>
    <row r="206" spans="1:4" x14ac:dyDescent="0.35">
      <c r="A206" t="s">
        <v>11</v>
      </c>
      <c r="B206" t="s">
        <v>12</v>
      </c>
      <c r="C206" t="s">
        <v>1135</v>
      </c>
      <c r="D206" t="s">
        <v>13</v>
      </c>
    </row>
    <row r="207" spans="1:4" x14ac:dyDescent="0.35">
      <c r="A207" t="s">
        <v>14</v>
      </c>
      <c r="B207" t="s">
        <v>15</v>
      </c>
      <c r="C207" t="s">
        <v>1135</v>
      </c>
      <c r="D207" t="s">
        <v>13</v>
      </c>
    </row>
    <row r="208" spans="1:4" x14ac:dyDescent="0.35">
      <c r="A208" t="s">
        <v>16</v>
      </c>
      <c r="B208" t="s">
        <v>17</v>
      </c>
      <c r="C208" t="s">
        <v>1135</v>
      </c>
      <c r="D208" t="s">
        <v>13</v>
      </c>
    </row>
    <row r="209" spans="1:4" x14ac:dyDescent="0.35">
      <c r="A209" t="s">
        <v>18</v>
      </c>
      <c r="B209" t="s">
        <v>19</v>
      </c>
      <c r="C209" t="s">
        <v>1135</v>
      </c>
      <c r="D209" t="s">
        <v>13</v>
      </c>
    </row>
    <row r="210" spans="1:4" x14ac:dyDescent="0.35">
      <c r="A210" t="s">
        <v>20</v>
      </c>
      <c r="B210" t="s">
        <v>21</v>
      </c>
      <c r="C210" t="s">
        <v>1135</v>
      </c>
      <c r="D210" t="s">
        <v>13</v>
      </c>
    </row>
    <row r="211" spans="1:4" x14ac:dyDescent="0.35">
      <c r="A211" t="s">
        <v>225</v>
      </c>
      <c r="B211" t="s">
        <v>226</v>
      </c>
      <c r="C211" t="s">
        <v>227</v>
      </c>
      <c r="D211" t="s">
        <v>228</v>
      </c>
    </row>
    <row r="212" spans="1:4" x14ac:dyDescent="0.35">
      <c r="A212" t="s">
        <v>131</v>
      </c>
      <c r="B212" t="s">
        <v>132</v>
      </c>
      <c r="C212" t="s">
        <v>133</v>
      </c>
      <c r="D212" t="s">
        <v>134</v>
      </c>
    </row>
    <row r="213" spans="1:4" x14ac:dyDescent="0.35">
      <c r="A213" t="s">
        <v>73</v>
      </c>
      <c r="B213" t="s">
        <v>74</v>
      </c>
      <c r="C213" t="s">
        <v>75</v>
      </c>
      <c r="D213" t="s">
        <v>76</v>
      </c>
    </row>
    <row r="214" spans="1:4" x14ac:dyDescent="0.35">
      <c r="A214" t="s">
        <v>1038</v>
      </c>
      <c r="B214" t="s">
        <v>1039</v>
      </c>
      <c r="C214" t="s">
        <v>1285</v>
      </c>
      <c r="D214" t="s">
        <v>1040</v>
      </c>
    </row>
    <row r="215" spans="1:4" x14ac:dyDescent="0.35">
      <c r="A215" t="s">
        <v>222</v>
      </c>
      <c r="B215" t="s">
        <v>223</v>
      </c>
      <c r="C215" t="s">
        <v>1154</v>
      </c>
      <c r="D215" t="s">
        <v>224</v>
      </c>
    </row>
    <row r="216" spans="1:4" x14ac:dyDescent="0.35">
      <c r="A216" t="s">
        <v>331</v>
      </c>
      <c r="B216" t="s">
        <v>332</v>
      </c>
      <c r="C216" t="s">
        <v>1175</v>
      </c>
      <c r="D216" t="s">
        <v>333</v>
      </c>
    </row>
    <row r="217" spans="1:4" x14ac:dyDescent="0.35">
      <c r="A217" t="s">
        <v>334</v>
      </c>
      <c r="B217" t="s">
        <v>335</v>
      </c>
      <c r="C217" t="s">
        <v>1175</v>
      </c>
      <c r="D217" t="s">
        <v>333</v>
      </c>
    </row>
    <row r="218" spans="1:4" x14ac:dyDescent="0.35">
      <c r="A218" t="s">
        <v>941</v>
      </c>
      <c r="B218" t="s">
        <v>942</v>
      </c>
      <c r="C218" t="s">
        <v>943</v>
      </c>
      <c r="D218" t="s">
        <v>944</v>
      </c>
    </row>
    <row r="219" spans="1:4" x14ac:dyDescent="0.35">
      <c r="A219" t="s">
        <v>218</v>
      </c>
      <c r="B219" t="s">
        <v>219</v>
      </c>
      <c r="C219" t="s">
        <v>220</v>
      </c>
      <c r="D219" t="s">
        <v>221</v>
      </c>
    </row>
    <row r="220" spans="1:4" x14ac:dyDescent="0.35">
      <c r="A220" t="s">
        <v>293</v>
      </c>
      <c r="B220" t="s">
        <v>294</v>
      </c>
      <c r="C220" t="s">
        <v>295</v>
      </c>
      <c r="D220" t="s">
        <v>296</v>
      </c>
    </row>
    <row r="221" spans="1:4" x14ac:dyDescent="0.35">
      <c r="A221" t="s">
        <v>508</v>
      </c>
      <c r="B221" t="s">
        <v>509</v>
      </c>
      <c r="C221" t="s">
        <v>1204</v>
      </c>
      <c r="D221" t="s">
        <v>510</v>
      </c>
    </row>
    <row r="222" spans="1:4" x14ac:dyDescent="0.35">
      <c r="A222" t="s">
        <v>717</v>
      </c>
      <c r="B222" t="s">
        <v>718</v>
      </c>
      <c r="C222" t="s">
        <v>1240</v>
      </c>
      <c r="D222" t="s">
        <v>719</v>
      </c>
    </row>
    <row r="223" spans="1:4" x14ac:dyDescent="0.35">
      <c r="A223" t="s">
        <v>314</v>
      </c>
      <c r="B223" t="s">
        <v>315</v>
      </c>
      <c r="C223" t="s">
        <v>1172</v>
      </c>
      <c r="D223" t="s">
        <v>316</v>
      </c>
    </row>
    <row r="224" spans="1:4" x14ac:dyDescent="0.35">
      <c r="A224" t="s">
        <v>522</v>
      </c>
      <c r="B224" t="s">
        <v>523</v>
      </c>
      <c r="C224" t="s">
        <v>1206</v>
      </c>
      <c r="D224" t="s">
        <v>524</v>
      </c>
    </row>
    <row r="225" spans="1:4" x14ac:dyDescent="0.35">
      <c r="A225" t="s">
        <v>525</v>
      </c>
      <c r="B225" t="s">
        <v>526</v>
      </c>
      <c r="C225" t="s">
        <v>1206</v>
      </c>
      <c r="D225" t="s">
        <v>524</v>
      </c>
    </row>
    <row r="226" spans="1:4" x14ac:dyDescent="0.35">
      <c r="A226" t="s">
        <v>527</v>
      </c>
      <c r="B226" t="s">
        <v>528</v>
      </c>
      <c r="C226" t="s">
        <v>1206</v>
      </c>
      <c r="D226" t="s">
        <v>524</v>
      </c>
    </row>
    <row r="227" spans="1:4" x14ac:dyDescent="0.35">
      <c r="A227" t="s">
        <v>529</v>
      </c>
      <c r="B227" t="s">
        <v>530</v>
      </c>
      <c r="C227" t="s">
        <v>1206</v>
      </c>
      <c r="D227" t="s">
        <v>524</v>
      </c>
    </row>
    <row r="228" spans="1:4" x14ac:dyDescent="0.35">
      <c r="A228" t="s">
        <v>531</v>
      </c>
      <c r="B228" t="s">
        <v>532</v>
      </c>
      <c r="C228" t="s">
        <v>1206</v>
      </c>
      <c r="D228" t="s">
        <v>524</v>
      </c>
    </row>
    <row r="229" spans="1:4" x14ac:dyDescent="0.35">
      <c r="A229" t="s">
        <v>533</v>
      </c>
      <c r="B229" t="s">
        <v>534</v>
      </c>
      <c r="C229" t="s">
        <v>1206</v>
      </c>
      <c r="D229" t="s">
        <v>524</v>
      </c>
    </row>
    <row r="230" spans="1:4" x14ac:dyDescent="0.35">
      <c r="A230" t="s">
        <v>535</v>
      </c>
      <c r="B230" t="s">
        <v>536</v>
      </c>
      <c r="C230" t="s">
        <v>1206</v>
      </c>
      <c r="D230" t="s">
        <v>524</v>
      </c>
    </row>
    <row r="231" spans="1:4" x14ac:dyDescent="0.35">
      <c r="A231" t="s">
        <v>537</v>
      </c>
      <c r="B231" t="s">
        <v>538</v>
      </c>
      <c r="C231" t="s">
        <v>1206</v>
      </c>
      <c r="D231" t="s">
        <v>524</v>
      </c>
    </row>
    <row r="232" spans="1:4" x14ac:dyDescent="0.35">
      <c r="A232" t="s">
        <v>539</v>
      </c>
      <c r="B232" t="s">
        <v>540</v>
      </c>
      <c r="C232" t="s">
        <v>1206</v>
      </c>
      <c r="D232" t="s">
        <v>524</v>
      </c>
    </row>
    <row r="233" spans="1:4" x14ac:dyDescent="0.35">
      <c r="A233" t="s">
        <v>541</v>
      </c>
      <c r="B233" t="s">
        <v>542</v>
      </c>
      <c r="C233" t="s">
        <v>1206</v>
      </c>
      <c r="D233" t="s">
        <v>524</v>
      </c>
    </row>
    <row r="234" spans="1:4" x14ac:dyDescent="0.35">
      <c r="A234" t="s">
        <v>815</v>
      </c>
      <c r="B234" t="s">
        <v>816</v>
      </c>
      <c r="C234" t="s">
        <v>817</v>
      </c>
      <c r="D234" t="s">
        <v>818</v>
      </c>
    </row>
    <row r="235" spans="1:4" x14ac:dyDescent="0.35">
      <c r="A235" t="s">
        <v>410</v>
      </c>
      <c r="B235" t="s">
        <v>411</v>
      </c>
      <c r="C235" t="s">
        <v>412</v>
      </c>
      <c r="D235" t="s">
        <v>413</v>
      </c>
    </row>
    <row r="236" spans="1:4" x14ac:dyDescent="0.35">
      <c r="A236" t="s">
        <v>686</v>
      </c>
      <c r="B236" t="s">
        <v>687</v>
      </c>
      <c r="C236" t="s">
        <v>688</v>
      </c>
      <c r="D236" t="s">
        <v>689</v>
      </c>
    </row>
    <row r="237" spans="1:4" x14ac:dyDescent="0.35">
      <c r="A237" t="s">
        <v>978</v>
      </c>
      <c r="B237" t="s">
        <v>979</v>
      </c>
      <c r="C237" t="s">
        <v>980</v>
      </c>
      <c r="D237" t="s">
        <v>981</v>
      </c>
    </row>
    <row r="238" spans="1:4" x14ac:dyDescent="0.35">
      <c r="A238" t="s">
        <v>308</v>
      </c>
      <c r="B238" t="s">
        <v>309</v>
      </c>
      <c r="C238" t="s">
        <v>1170</v>
      </c>
      <c r="D238" t="s">
        <v>310</v>
      </c>
    </row>
    <row r="239" spans="1:4" x14ac:dyDescent="0.35">
      <c r="A239" t="s">
        <v>290</v>
      </c>
      <c r="B239" t="s">
        <v>291</v>
      </c>
      <c r="C239" t="s">
        <v>1168</v>
      </c>
      <c r="D239" t="s">
        <v>292</v>
      </c>
    </row>
    <row r="240" spans="1:4" x14ac:dyDescent="0.35">
      <c r="A240" t="s">
        <v>84</v>
      </c>
      <c r="B240" t="s">
        <v>85</v>
      </c>
      <c r="C240" t="s">
        <v>1142</v>
      </c>
      <c r="D240" t="s">
        <v>86</v>
      </c>
    </row>
    <row r="241" spans="1:4" x14ac:dyDescent="0.35">
      <c r="A241" t="s">
        <v>268</v>
      </c>
      <c r="B241" t="s">
        <v>269</v>
      </c>
      <c r="C241" t="s">
        <v>1164</v>
      </c>
      <c r="D241" t="s">
        <v>270</v>
      </c>
    </row>
    <row r="242" spans="1:4" x14ac:dyDescent="0.35">
      <c r="A242" t="s">
        <v>499</v>
      </c>
      <c r="B242" t="s">
        <v>500</v>
      </c>
      <c r="C242" t="s">
        <v>501</v>
      </c>
      <c r="D242" t="s">
        <v>502</v>
      </c>
    </row>
    <row r="243" spans="1:4" x14ac:dyDescent="0.35">
      <c r="A243" t="s">
        <v>503</v>
      </c>
      <c r="B243" t="s">
        <v>504</v>
      </c>
      <c r="C243" t="s">
        <v>501</v>
      </c>
      <c r="D243" t="s">
        <v>502</v>
      </c>
    </row>
    <row r="244" spans="1:4" x14ac:dyDescent="0.35">
      <c r="A244" t="s">
        <v>135</v>
      </c>
      <c r="B244" t="s">
        <v>136</v>
      </c>
      <c r="C244" t="s">
        <v>137</v>
      </c>
      <c r="D244" t="s">
        <v>138</v>
      </c>
    </row>
    <row r="245" spans="1:4" x14ac:dyDescent="0.35">
      <c r="A245" t="s">
        <v>819</v>
      </c>
      <c r="B245" t="s">
        <v>820</v>
      </c>
      <c r="C245" t="s">
        <v>821</v>
      </c>
      <c r="D245" t="s">
        <v>822</v>
      </c>
    </row>
    <row r="246" spans="1:4" x14ac:dyDescent="0.35">
      <c r="A246" t="s">
        <v>677</v>
      </c>
      <c r="B246" t="s">
        <v>678</v>
      </c>
      <c r="C246" t="s">
        <v>1231</v>
      </c>
      <c r="D246" t="s">
        <v>679</v>
      </c>
    </row>
    <row r="247" spans="1:4" x14ac:dyDescent="0.35">
      <c r="A247" t="s">
        <v>680</v>
      </c>
      <c r="B247" t="s">
        <v>681</v>
      </c>
      <c r="C247" t="s">
        <v>1231</v>
      </c>
      <c r="D247" t="s">
        <v>679</v>
      </c>
    </row>
    <row r="248" spans="1:4" x14ac:dyDescent="0.35">
      <c r="A248" t="s">
        <v>708</v>
      </c>
      <c r="B248" t="s">
        <v>709</v>
      </c>
      <c r="C248" t="s">
        <v>1237</v>
      </c>
      <c r="D248" t="s">
        <v>710</v>
      </c>
    </row>
    <row r="249" spans="1:4" x14ac:dyDescent="0.35">
      <c r="A249" t="s">
        <v>371</v>
      </c>
      <c r="B249" t="s">
        <v>372</v>
      </c>
      <c r="C249" t="s">
        <v>1181</v>
      </c>
      <c r="D249" t="s">
        <v>373</v>
      </c>
    </row>
    <row r="250" spans="1:4" x14ac:dyDescent="0.35">
      <c r="A250" t="s">
        <v>618</v>
      </c>
      <c r="B250" t="s">
        <v>619</v>
      </c>
      <c r="C250" t="s">
        <v>620</v>
      </c>
      <c r="D250" t="s">
        <v>621</v>
      </c>
    </row>
    <row r="251" spans="1:4" x14ac:dyDescent="0.35">
      <c r="A251" t="s">
        <v>275</v>
      </c>
      <c r="B251" t="s">
        <v>276</v>
      </c>
      <c r="C251" t="s">
        <v>1165</v>
      </c>
      <c r="D251" t="s">
        <v>277</v>
      </c>
    </row>
    <row r="252" spans="1:4" x14ac:dyDescent="0.35">
      <c r="A252" t="s">
        <v>425</v>
      </c>
      <c r="B252" t="s">
        <v>426</v>
      </c>
      <c r="C252" t="s">
        <v>427</v>
      </c>
      <c r="D252" t="s">
        <v>428</v>
      </c>
    </row>
    <row r="253" spans="1:4" x14ac:dyDescent="0.35">
      <c r="A253" t="s">
        <v>236</v>
      </c>
      <c r="B253" t="s">
        <v>237</v>
      </c>
      <c r="C253" t="s">
        <v>1156</v>
      </c>
      <c r="D253" t="s">
        <v>238</v>
      </c>
    </row>
    <row r="254" spans="1:4" x14ac:dyDescent="0.35">
      <c r="A254" t="s">
        <v>139</v>
      </c>
      <c r="B254" t="s">
        <v>140</v>
      </c>
      <c r="C254" t="s">
        <v>1145</v>
      </c>
      <c r="D254" t="s">
        <v>141</v>
      </c>
    </row>
    <row r="255" spans="1:4" x14ac:dyDescent="0.35">
      <c r="A255" t="s">
        <v>566</v>
      </c>
      <c r="B255" t="s">
        <v>567</v>
      </c>
      <c r="C255" t="s">
        <v>1212</v>
      </c>
      <c r="D255" t="s">
        <v>568</v>
      </c>
    </row>
    <row r="256" spans="1:4" x14ac:dyDescent="0.35">
      <c r="A256" t="s">
        <v>377</v>
      </c>
      <c r="B256" t="s">
        <v>378</v>
      </c>
      <c r="C256" t="s">
        <v>1183</v>
      </c>
      <c r="D256" t="s">
        <v>379</v>
      </c>
    </row>
    <row r="257" spans="1:4" x14ac:dyDescent="0.35">
      <c r="A257" t="s">
        <v>665</v>
      </c>
      <c r="B257" t="s">
        <v>666</v>
      </c>
      <c r="C257" t="s">
        <v>667</v>
      </c>
      <c r="D257" t="s">
        <v>668</v>
      </c>
    </row>
    <row r="258" spans="1:4" x14ac:dyDescent="0.35">
      <c r="A258" t="s">
        <v>458</v>
      </c>
      <c r="B258" t="s">
        <v>459</v>
      </c>
      <c r="C258" t="s">
        <v>1196</v>
      </c>
      <c r="D258" t="s">
        <v>460</v>
      </c>
    </row>
    <row r="259" spans="1:4" x14ac:dyDescent="0.35">
      <c r="A259" t="s">
        <v>773</v>
      </c>
      <c r="B259" t="s">
        <v>774</v>
      </c>
      <c r="C259" t="s">
        <v>1252</v>
      </c>
      <c r="D259" t="s">
        <v>775</v>
      </c>
    </row>
    <row r="260" spans="1:4" x14ac:dyDescent="0.35">
      <c r="A260" t="s">
        <v>633</v>
      </c>
      <c r="B260" t="s">
        <v>634</v>
      </c>
      <c r="C260" t="s">
        <v>1225</v>
      </c>
      <c r="D260" t="s">
        <v>635</v>
      </c>
    </row>
    <row r="261" spans="1:4" x14ac:dyDescent="0.35">
      <c r="A261" t="s">
        <v>602</v>
      </c>
      <c r="B261" t="s">
        <v>603</v>
      </c>
      <c r="C261" t="s">
        <v>604</v>
      </c>
      <c r="D261" t="s">
        <v>605</v>
      </c>
    </row>
    <row r="262" spans="1:4" x14ac:dyDescent="0.35">
      <c r="A262" t="s">
        <v>636</v>
      </c>
      <c r="B262" t="s">
        <v>637</v>
      </c>
      <c r="C262" t="s">
        <v>638</v>
      </c>
      <c r="D262" t="s">
        <v>639</v>
      </c>
    </row>
    <row r="263" spans="1:4" x14ac:dyDescent="0.35">
      <c r="A263" t="s">
        <v>1000</v>
      </c>
      <c r="B263" t="s">
        <v>1001</v>
      </c>
      <c r="C263" t="s">
        <v>1281</v>
      </c>
      <c r="D263" t="s">
        <v>1002</v>
      </c>
    </row>
    <row r="264" spans="1:4" x14ac:dyDescent="0.35">
      <c r="A264" t="s">
        <v>22</v>
      </c>
      <c r="B264" t="s">
        <v>23</v>
      </c>
      <c r="C264" t="s">
        <v>24</v>
      </c>
      <c r="D264" t="s">
        <v>25</v>
      </c>
    </row>
    <row r="265" spans="1:4" x14ac:dyDescent="0.35">
      <c r="A265" t="s">
        <v>626</v>
      </c>
      <c r="B265" t="s">
        <v>627</v>
      </c>
      <c r="C265" t="s">
        <v>1224</v>
      </c>
      <c r="D265" t="s">
        <v>628</v>
      </c>
    </row>
    <row r="266" spans="1:4" x14ac:dyDescent="0.35">
      <c r="A266" t="s">
        <v>757</v>
      </c>
      <c r="B266" t="s">
        <v>758</v>
      </c>
      <c r="C266" t="s">
        <v>1248</v>
      </c>
      <c r="D266" t="s">
        <v>759</v>
      </c>
    </row>
    <row r="267" spans="1:4" x14ac:dyDescent="0.35">
      <c r="A267" t="s">
        <v>287</v>
      </c>
      <c r="B267" t="s">
        <v>288</v>
      </c>
      <c r="C267" t="s">
        <v>1167</v>
      </c>
      <c r="D267" t="s">
        <v>289</v>
      </c>
    </row>
    <row r="268" spans="1:4" x14ac:dyDescent="0.35">
      <c r="A268" t="s">
        <v>433</v>
      </c>
      <c r="B268" t="s">
        <v>434</v>
      </c>
      <c r="C268" t="s">
        <v>1193</v>
      </c>
      <c r="D268" t="s">
        <v>435</v>
      </c>
    </row>
    <row r="269" spans="1:4" x14ac:dyDescent="0.35">
      <c r="A269" t="s">
        <v>505</v>
      </c>
      <c r="B269" t="s">
        <v>506</v>
      </c>
      <c r="C269" t="s">
        <v>1203</v>
      </c>
      <c r="D269" t="s">
        <v>507</v>
      </c>
    </row>
    <row r="270" spans="1:4" x14ac:dyDescent="0.35">
      <c r="A270" t="s">
        <v>436</v>
      </c>
      <c r="B270" t="s">
        <v>437</v>
      </c>
      <c r="C270" t="s">
        <v>1194</v>
      </c>
      <c r="D270" t="s">
        <v>438</v>
      </c>
    </row>
    <row r="271" spans="1:4" x14ac:dyDescent="0.35">
      <c r="A271" t="s">
        <v>304</v>
      </c>
      <c r="B271" t="s">
        <v>305</v>
      </c>
      <c r="C271" t="s">
        <v>306</v>
      </c>
      <c r="D271" t="s">
        <v>307</v>
      </c>
    </row>
    <row r="272" spans="1:4" x14ac:dyDescent="0.35">
      <c r="A272" t="s">
        <v>186</v>
      </c>
      <c r="B272" t="s">
        <v>187</v>
      </c>
      <c r="C272" t="s">
        <v>1152</v>
      </c>
      <c r="D272" t="s">
        <v>188</v>
      </c>
    </row>
    <row r="273" spans="1:4" x14ac:dyDescent="0.35">
      <c r="A273" t="s">
        <v>495</v>
      </c>
      <c r="B273" t="s">
        <v>496</v>
      </c>
      <c r="C273" t="s">
        <v>497</v>
      </c>
      <c r="D273" t="s">
        <v>498</v>
      </c>
    </row>
    <row r="274" spans="1:4" x14ac:dyDescent="0.35">
      <c r="A274" t="s">
        <v>386</v>
      </c>
      <c r="B274" t="s">
        <v>387</v>
      </c>
      <c r="C274" t="s">
        <v>388</v>
      </c>
      <c r="D274" t="s">
        <v>389</v>
      </c>
    </row>
    <row r="275" spans="1:4" x14ac:dyDescent="0.35">
      <c r="A275" t="s">
        <v>169</v>
      </c>
      <c r="B275" t="s">
        <v>170</v>
      </c>
      <c r="C275" t="s">
        <v>1149</v>
      </c>
      <c r="D275" t="s">
        <v>171</v>
      </c>
    </row>
    <row r="276" spans="1:4" x14ac:dyDescent="0.35">
      <c r="A276" t="s">
        <v>439</v>
      </c>
      <c r="B276" t="s">
        <v>440</v>
      </c>
      <c r="C276" t="s">
        <v>441</v>
      </c>
      <c r="D276" t="s">
        <v>442</v>
      </c>
    </row>
    <row r="277" spans="1:4" x14ac:dyDescent="0.35">
      <c r="A277" t="s">
        <v>929</v>
      </c>
      <c r="B277" t="s">
        <v>930</v>
      </c>
      <c r="C277" t="s">
        <v>931</v>
      </c>
      <c r="D277" t="s">
        <v>932</v>
      </c>
    </row>
    <row r="278" spans="1:4" x14ac:dyDescent="0.35">
      <c r="A278" t="s">
        <v>555</v>
      </c>
      <c r="B278" t="s">
        <v>556</v>
      </c>
      <c r="C278" t="s">
        <v>557</v>
      </c>
      <c r="D278" t="s">
        <v>558</v>
      </c>
    </row>
    <row r="279" spans="1:4" x14ac:dyDescent="0.35">
      <c r="A279" t="s">
        <v>247</v>
      </c>
      <c r="B279" t="s">
        <v>248</v>
      </c>
      <c r="C279" t="s">
        <v>1159</v>
      </c>
      <c r="D279" t="s">
        <v>249</v>
      </c>
    </row>
    <row r="280" spans="1:4" x14ac:dyDescent="0.35">
      <c r="A280" t="s">
        <v>250</v>
      </c>
      <c r="B280" t="s">
        <v>251</v>
      </c>
      <c r="C280" t="s">
        <v>1159</v>
      </c>
      <c r="D280" t="s">
        <v>249</v>
      </c>
    </row>
    <row r="281" spans="1:4" x14ac:dyDescent="0.35">
      <c r="A281" t="s">
        <v>59</v>
      </c>
      <c r="B281" t="s">
        <v>60</v>
      </c>
      <c r="C281" t="s">
        <v>1139</v>
      </c>
      <c r="D281" t="s">
        <v>61</v>
      </c>
    </row>
    <row r="282" spans="1:4" x14ac:dyDescent="0.35">
      <c r="A282" t="s">
        <v>589</v>
      </c>
      <c r="B282" t="s">
        <v>590</v>
      </c>
      <c r="C282" t="s">
        <v>1217</v>
      </c>
      <c r="D282" t="s">
        <v>591</v>
      </c>
    </row>
    <row r="283" spans="1:4" x14ac:dyDescent="0.35">
      <c r="A283" t="s">
        <v>350</v>
      </c>
      <c r="B283" t="s">
        <v>351</v>
      </c>
      <c r="C283" t="s">
        <v>1178</v>
      </c>
      <c r="D283" t="s">
        <v>352</v>
      </c>
    </row>
    <row r="284" spans="1:4" x14ac:dyDescent="0.35">
      <c r="A284" t="s">
        <v>353</v>
      </c>
      <c r="B284" t="s">
        <v>354</v>
      </c>
      <c r="C284" t="s">
        <v>1178</v>
      </c>
      <c r="D284" t="s">
        <v>352</v>
      </c>
    </row>
    <row r="285" spans="1:4" x14ac:dyDescent="0.35">
      <c r="A285" t="s">
        <v>355</v>
      </c>
      <c r="B285" t="s">
        <v>356</v>
      </c>
      <c r="C285" t="s">
        <v>1178</v>
      </c>
      <c r="D285" t="s">
        <v>352</v>
      </c>
    </row>
    <row r="286" spans="1:4" x14ac:dyDescent="0.35">
      <c r="A286" t="s">
        <v>672</v>
      </c>
      <c r="B286" t="s">
        <v>673</v>
      </c>
      <c r="C286" t="s">
        <v>1230</v>
      </c>
      <c r="D286" t="s">
        <v>674</v>
      </c>
    </row>
    <row r="287" spans="1:4" x14ac:dyDescent="0.35">
      <c r="A287" t="s">
        <v>675</v>
      </c>
      <c r="B287" t="s">
        <v>676</v>
      </c>
      <c r="C287" t="s">
        <v>1230</v>
      </c>
      <c r="D287" t="s">
        <v>674</v>
      </c>
    </row>
    <row r="288" spans="1:4" x14ac:dyDescent="0.35">
      <c r="A288" t="s">
        <v>583</v>
      </c>
      <c r="B288" t="s">
        <v>584</v>
      </c>
      <c r="C288" t="s">
        <v>1215</v>
      </c>
      <c r="D288" t="s">
        <v>585</v>
      </c>
    </row>
    <row r="289" spans="1:4" x14ac:dyDescent="0.35">
      <c r="A289" t="s">
        <v>906</v>
      </c>
      <c r="B289" t="s">
        <v>907</v>
      </c>
      <c r="C289" t="s">
        <v>1272</v>
      </c>
      <c r="D289" t="s">
        <v>908</v>
      </c>
    </row>
    <row r="290" spans="1:4" x14ac:dyDescent="0.35">
      <c r="A290" t="s">
        <v>94</v>
      </c>
      <c r="B290" t="s">
        <v>95</v>
      </c>
      <c r="C290" t="s">
        <v>96</v>
      </c>
      <c r="D290" t="s">
        <v>97</v>
      </c>
    </row>
    <row r="291" spans="1:4" x14ac:dyDescent="0.35">
      <c r="A291" t="s">
        <v>450</v>
      </c>
      <c r="B291" t="s">
        <v>451</v>
      </c>
      <c r="C291" t="s">
        <v>452</v>
      </c>
      <c r="D291" t="s">
        <v>453</v>
      </c>
    </row>
    <row r="292" spans="1:4" x14ac:dyDescent="0.35">
      <c r="A292" t="s">
        <v>33</v>
      </c>
      <c r="B292" t="s">
        <v>34</v>
      </c>
      <c r="C292" t="s">
        <v>1137</v>
      </c>
      <c r="D292" t="s">
        <v>35</v>
      </c>
    </row>
    <row r="293" spans="1:4" x14ac:dyDescent="0.35">
      <c r="A293" t="s">
        <v>736</v>
      </c>
      <c r="B293" t="s">
        <v>737</v>
      </c>
      <c r="C293" t="s">
        <v>738</v>
      </c>
      <c r="D293" t="s">
        <v>739</v>
      </c>
    </row>
    <row r="294" spans="1:4" x14ac:dyDescent="0.35">
      <c r="A294" t="s">
        <v>740</v>
      </c>
      <c r="B294" t="s">
        <v>741</v>
      </c>
      <c r="C294" t="s">
        <v>738</v>
      </c>
      <c r="D294" t="s">
        <v>739</v>
      </c>
    </row>
    <row r="295" spans="1:4" x14ac:dyDescent="0.35">
      <c r="A295" t="s">
        <v>742</v>
      </c>
      <c r="B295" t="s">
        <v>743</v>
      </c>
      <c r="C295" t="s">
        <v>738</v>
      </c>
      <c r="D295" t="s">
        <v>739</v>
      </c>
    </row>
    <row r="296" spans="1:4" x14ac:dyDescent="0.35">
      <c r="A296" t="s">
        <v>873</v>
      </c>
      <c r="B296" t="s">
        <v>874</v>
      </c>
      <c r="C296" t="s">
        <v>1264</v>
      </c>
      <c r="D296" t="s">
        <v>875</v>
      </c>
    </row>
    <row r="297" spans="1:4" x14ac:dyDescent="0.35">
      <c r="A297" t="s">
        <v>643</v>
      </c>
      <c r="B297" t="s">
        <v>644</v>
      </c>
      <c r="C297" t="s">
        <v>645</v>
      </c>
      <c r="D297" t="s">
        <v>646</v>
      </c>
    </row>
    <row r="298" spans="1:4" x14ac:dyDescent="0.35">
      <c r="A298" t="s">
        <v>622</v>
      </c>
      <c r="B298" t="s">
        <v>623</v>
      </c>
      <c r="C298" t="s">
        <v>624</v>
      </c>
      <c r="D298" t="s">
        <v>625</v>
      </c>
    </row>
    <row r="299" spans="1:4" x14ac:dyDescent="0.35">
      <c r="A299" t="s">
        <v>733</v>
      </c>
      <c r="B299" t="s">
        <v>734</v>
      </c>
      <c r="C299" t="s">
        <v>1244</v>
      </c>
      <c r="D299" t="s">
        <v>735</v>
      </c>
    </row>
    <row r="300" spans="1:4" x14ac:dyDescent="0.35">
      <c r="A300" t="s">
        <v>40</v>
      </c>
      <c r="B300" t="s">
        <v>41</v>
      </c>
      <c r="C300" t="s">
        <v>42</v>
      </c>
      <c r="D300" t="s">
        <v>43</v>
      </c>
    </row>
    <row r="301" spans="1:4" x14ac:dyDescent="0.35">
      <c r="A301" t="s">
        <v>693</v>
      </c>
      <c r="B301" t="s">
        <v>694</v>
      </c>
      <c r="C301" t="s">
        <v>1233</v>
      </c>
      <c r="D301" t="s">
        <v>695</v>
      </c>
    </row>
    <row r="302" spans="1:4" x14ac:dyDescent="0.35">
      <c r="A302" t="s">
        <v>271</v>
      </c>
      <c r="B302" t="s">
        <v>272</v>
      </c>
      <c r="C302" t="s">
        <v>273</v>
      </c>
      <c r="D302" t="s">
        <v>274</v>
      </c>
    </row>
    <row r="303" spans="1:4" x14ac:dyDescent="0.35">
      <c r="A303" t="s">
        <v>829</v>
      </c>
      <c r="B303" t="s">
        <v>830</v>
      </c>
      <c r="C303" t="s">
        <v>1258</v>
      </c>
      <c r="D303" t="s">
        <v>831</v>
      </c>
    </row>
    <row r="304" spans="1:4" x14ac:dyDescent="0.35">
      <c r="A304" t="s">
        <v>896</v>
      </c>
      <c r="B304" t="s">
        <v>897</v>
      </c>
      <c r="C304" t="s">
        <v>898</v>
      </c>
      <c r="D304" t="s">
        <v>899</v>
      </c>
    </row>
    <row r="305" spans="1:4" x14ac:dyDescent="0.35">
      <c r="A305" t="s">
        <v>1041</v>
      </c>
      <c r="B305" t="s">
        <v>1042</v>
      </c>
      <c r="C305" t="s">
        <v>1286</v>
      </c>
      <c r="D305" t="s">
        <v>1043</v>
      </c>
    </row>
    <row r="306" spans="1:4" x14ac:dyDescent="0.35">
      <c r="A306" t="s">
        <v>380</v>
      </c>
      <c r="B306" t="s">
        <v>381</v>
      </c>
      <c r="C306" t="s">
        <v>1184</v>
      </c>
      <c r="D306" t="s">
        <v>382</v>
      </c>
    </row>
    <row r="307" spans="1:4" x14ac:dyDescent="0.35">
      <c r="A307" t="s">
        <v>475</v>
      </c>
      <c r="B307" t="s">
        <v>476</v>
      </c>
      <c r="C307" t="s">
        <v>1199</v>
      </c>
      <c r="D307" t="s">
        <v>477</v>
      </c>
    </row>
    <row r="308" spans="1:4" x14ac:dyDescent="0.35">
      <c r="A308" t="s">
        <v>563</v>
      </c>
      <c r="B308" t="s">
        <v>564</v>
      </c>
      <c r="C308" t="s">
        <v>1211</v>
      </c>
      <c r="D308" t="s">
        <v>565</v>
      </c>
    </row>
    <row r="309" spans="1:4" x14ac:dyDescent="0.35">
      <c r="A309" t="s">
        <v>1025</v>
      </c>
      <c r="B309" t="s">
        <v>1026</v>
      </c>
      <c r="C309" t="s">
        <v>1282</v>
      </c>
      <c r="D309" t="s">
        <v>1027</v>
      </c>
    </row>
    <row r="310" spans="1:4" x14ac:dyDescent="0.35">
      <c r="A310" t="s">
        <v>797</v>
      </c>
      <c r="B310" t="s">
        <v>798</v>
      </c>
      <c r="C310" t="s">
        <v>1254</v>
      </c>
      <c r="D310" t="s">
        <v>799</v>
      </c>
    </row>
    <row r="311" spans="1:4" x14ac:dyDescent="0.35">
      <c r="A311" t="s">
        <v>300</v>
      </c>
      <c r="B311" t="s">
        <v>301</v>
      </c>
      <c r="C311" t="s">
        <v>302</v>
      </c>
      <c r="D311" t="s">
        <v>303</v>
      </c>
    </row>
    <row r="312" spans="1:4" x14ac:dyDescent="0.35">
      <c r="A312" t="s">
        <v>66</v>
      </c>
      <c r="B312" t="s">
        <v>67</v>
      </c>
      <c r="C312" t="s">
        <v>1140</v>
      </c>
      <c r="D312" t="s">
        <v>68</v>
      </c>
    </row>
    <row r="313" spans="1:4" x14ac:dyDescent="0.35">
      <c r="A313" t="s">
        <v>69</v>
      </c>
      <c r="B313" t="s">
        <v>70</v>
      </c>
      <c r="C313" t="s">
        <v>1140</v>
      </c>
      <c r="D313" t="s">
        <v>68</v>
      </c>
    </row>
    <row r="314" spans="1:4" x14ac:dyDescent="0.35">
      <c r="A314" t="s">
        <v>71</v>
      </c>
      <c r="B314" t="s">
        <v>72</v>
      </c>
      <c r="C314" t="s">
        <v>1140</v>
      </c>
      <c r="D314" t="s">
        <v>68</v>
      </c>
    </row>
    <row r="315" spans="1:4" x14ac:dyDescent="0.35">
      <c r="A315" t="s">
        <v>615</v>
      </c>
      <c r="B315" t="s">
        <v>616</v>
      </c>
      <c r="C315" t="s">
        <v>1223</v>
      </c>
      <c r="D315" t="s">
        <v>617</v>
      </c>
    </row>
    <row r="316" spans="1:4" x14ac:dyDescent="0.35">
      <c r="A316" t="s">
        <v>264</v>
      </c>
      <c r="B316" t="s">
        <v>265</v>
      </c>
      <c r="C316" t="s">
        <v>266</v>
      </c>
      <c r="D316" t="s">
        <v>267</v>
      </c>
    </row>
    <row r="317" spans="1:4" x14ac:dyDescent="0.35">
      <c r="A317" t="s">
        <v>229</v>
      </c>
      <c r="B317" t="s">
        <v>230</v>
      </c>
      <c r="C317" t="s">
        <v>231</v>
      </c>
      <c r="D317" t="s">
        <v>232</v>
      </c>
    </row>
    <row r="318" spans="1:4" x14ac:dyDescent="0.35">
      <c r="A318" t="s">
        <v>711</v>
      </c>
      <c r="B318" t="s">
        <v>712</v>
      </c>
      <c r="C318" t="s">
        <v>1238</v>
      </c>
      <c r="D318" t="s">
        <v>713</v>
      </c>
    </row>
    <row r="319" spans="1:4" x14ac:dyDescent="0.35">
      <c r="A319" t="s">
        <v>26</v>
      </c>
      <c r="B319" t="s">
        <v>27</v>
      </c>
      <c r="C319" t="s">
        <v>28</v>
      </c>
      <c r="D319" t="s">
        <v>29</v>
      </c>
    </row>
    <row r="320" spans="1:4" x14ac:dyDescent="0.35">
      <c r="A320" t="s">
        <v>893</v>
      </c>
      <c r="B320" t="s">
        <v>894</v>
      </c>
      <c r="C320" t="s">
        <v>1269</v>
      </c>
      <c r="D320" t="s">
        <v>895</v>
      </c>
    </row>
    <row r="321" spans="1:4" x14ac:dyDescent="0.35">
      <c r="A321" t="s">
        <v>572</v>
      </c>
      <c r="B321" t="s">
        <v>573</v>
      </c>
      <c r="C321" t="s">
        <v>574</v>
      </c>
      <c r="D321" t="s">
        <v>575</v>
      </c>
    </row>
    <row r="322" spans="1:4" x14ac:dyDescent="0.35">
      <c r="A322" t="s">
        <v>419</v>
      </c>
      <c r="B322" t="s">
        <v>420</v>
      </c>
      <c r="C322" t="s">
        <v>1191</v>
      </c>
      <c r="D322" t="s">
        <v>421</v>
      </c>
    </row>
    <row r="323" spans="1:4" x14ac:dyDescent="0.35">
      <c r="A323" t="s">
        <v>62</v>
      </c>
      <c r="B323" t="s">
        <v>63</v>
      </c>
      <c r="C323" t="s">
        <v>64</v>
      </c>
      <c r="D323" t="s">
        <v>65</v>
      </c>
    </row>
    <row r="324" spans="1:4" x14ac:dyDescent="0.35">
      <c r="A324" t="s">
        <v>988</v>
      </c>
      <c r="B324" t="s">
        <v>989</v>
      </c>
      <c r="C324" t="s">
        <v>990</v>
      </c>
      <c r="D324" t="s">
        <v>985</v>
      </c>
    </row>
    <row r="325" spans="1:4" x14ac:dyDescent="0.35">
      <c r="A325" t="s">
        <v>982</v>
      </c>
      <c r="B325" t="s">
        <v>983</v>
      </c>
      <c r="C325" t="s">
        <v>984</v>
      </c>
      <c r="D325" t="s">
        <v>985</v>
      </c>
    </row>
    <row r="326" spans="1:4" x14ac:dyDescent="0.35">
      <c r="A326" t="s">
        <v>986</v>
      </c>
      <c r="B326" t="s">
        <v>987</v>
      </c>
      <c r="C326" t="s">
        <v>984</v>
      </c>
      <c r="D326" t="s">
        <v>985</v>
      </c>
    </row>
    <row r="327" spans="1:4" x14ac:dyDescent="0.35">
      <c r="A327" t="s">
        <v>991</v>
      </c>
      <c r="B327" t="s">
        <v>992</v>
      </c>
      <c r="C327" t="s">
        <v>984</v>
      </c>
      <c r="D327" t="s">
        <v>985</v>
      </c>
    </row>
    <row r="328" spans="1:4" x14ac:dyDescent="0.35">
      <c r="A328" t="s">
        <v>933</v>
      </c>
      <c r="B328" t="s">
        <v>934</v>
      </c>
      <c r="C328" t="s">
        <v>935</v>
      </c>
      <c r="D328" t="s">
        <v>936</v>
      </c>
    </row>
    <row r="329" spans="1:4" x14ac:dyDescent="0.35">
      <c r="A329" t="s">
        <v>780</v>
      </c>
      <c r="B329" t="s">
        <v>781</v>
      </c>
      <c r="C329" t="s">
        <v>782</v>
      </c>
      <c r="D329" t="s">
        <v>783</v>
      </c>
    </row>
    <row r="330" spans="1:4" x14ac:dyDescent="0.35">
      <c r="A330" t="s">
        <v>848</v>
      </c>
      <c r="B330" t="s">
        <v>849</v>
      </c>
      <c r="C330" t="s">
        <v>850</v>
      </c>
      <c r="D330" t="s">
        <v>851</v>
      </c>
    </row>
    <row r="331" spans="1:4" x14ac:dyDescent="0.35">
      <c r="A331" t="s">
        <v>945</v>
      </c>
      <c r="B331" t="s">
        <v>946</v>
      </c>
      <c r="C331" t="s">
        <v>1277</v>
      </c>
      <c r="D331" t="s">
        <v>947</v>
      </c>
    </row>
    <row r="332" spans="1:4" x14ac:dyDescent="0.35">
      <c r="A332" t="s">
        <v>845</v>
      </c>
      <c r="B332" t="s">
        <v>846</v>
      </c>
      <c r="C332" t="s">
        <v>1260</v>
      </c>
      <c r="D332" t="s">
        <v>847</v>
      </c>
    </row>
    <row r="333" spans="1:4" x14ac:dyDescent="0.35">
      <c r="A333" t="s">
        <v>862</v>
      </c>
      <c r="B333" t="s">
        <v>863</v>
      </c>
      <c r="C333" t="s">
        <v>1263</v>
      </c>
      <c r="D333" t="s">
        <v>864</v>
      </c>
    </row>
    <row r="334" spans="1:4" x14ac:dyDescent="0.35">
      <c r="A334" t="s">
        <v>720</v>
      </c>
      <c r="B334" t="s">
        <v>721</v>
      </c>
      <c r="C334" t="s">
        <v>1241</v>
      </c>
      <c r="D334" t="s">
        <v>722</v>
      </c>
    </row>
    <row r="335" spans="1:4" x14ac:dyDescent="0.35">
      <c r="A335" t="s">
        <v>30</v>
      </c>
      <c r="B335" t="s">
        <v>31</v>
      </c>
      <c r="C335" t="s">
        <v>1136</v>
      </c>
      <c r="D335" t="s">
        <v>32</v>
      </c>
    </row>
    <row r="336" spans="1:4" x14ac:dyDescent="0.35">
      <c r="A336" t="s">
        <v>244</v>
      </c>
      <c r="B336" t="s">
        <v>245</v>
      </c>
      <c r="C336" t="s">
        <v>1158</v>
      </c>
      <c r="D336" t="s">
        <v>246</v>
      </c>
    </row>
    <row r="337" spans="1:4" x14ac:dyDescent="0.35">
      <c r="A337" t="s">
        <v>261</v>
      </c>
      <c r="B337" t="s">
        <v>262</v>
      </c>
      <c r="C337" t="s">
        <v>1163</v>
      </c>
      <c r="D337" t="s">
        <v>263</v>
      </c>
    </row>
    <row r="338" spans="1:4" x14ac:dyDescent="0.35">
      <c r="A338" t="s">
        <v>859</v>
      </c>
      <c r="B338" t="s">
        <v>860</v>
      </c>
      <c r="C338" t="s">
        <v>1262</v>
      </c>
      <c r="D338" t="s">
        <v>861</v>
      </c>
    </row>
    <row r="339" spans="1:4" x14ac:dyDescent="0.35">
      <c r="A339" t="s">
        <v>51</v>
      </c>
      <c r="B339" t="s">
        <v>52</v>
      </c>
      <c r="C339" t="s">
        <v>53</v>
      </c>
      <c r="D339" t="s">
        <v>54</v>
      </c>
    </row>
    <row r="340" spans="1:4" x14ac:dyDescent="0.35">
      <c r="A340" t="s">
        <v>465</v>
      </c>
      <c r="B340" t="s">
        <v>466</v>
      </c>
      <c r="C340" t="s">
        <v>1197</v>
      </c>
      <c r="D340" t="s">
        <v>467</v>
      </c>
    </row>
    <row r="341" spans="1:4" x14ac:dyDescent="0.35">
      <c r="A341" t="s">
        <v>401</v>
      </c>
      <c r="B341" t="s">
        <v>402</v>
      </c>
      <c r="C341" t="s">
        <v>1187</v>
      </c>
      <c r="D341" t="s">
        <v>403</v>
      </c>
    </row>
    <row r="342" spans="1:4" x14ac:dyDescent="0.35">
      <c r="A342" t="s">
        <v>569</v>
      </c>
      <c r="B342" t="s">
        <v>570</v>
      </c>
      <c r="C342" t="s">
        <v>1213</v>
      </c>
      <c r="D342" t="s">
        <v>571</v>
      </c>
    </row>
  </sheetData>
  <autoFilter ref="A1:D343" xr:uid="{80B22F11-F5C2-47EE-AAED-91C1B09D0566}">
    <sortState xmlns:xlrd2="http://schemas.microsoft.com/office/spreadsheetml/2017/richdata2" ref="A2:D343">
      <sortCondition ref="C1:C34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A3E5-DE5C-4BF9-AFF3-E34325064379}">
  <dimension ref="A1:C3"/>
  <sheetViews>
    <sheetView workbookViewId="0">
      <selection activeCell="C4" sqref="C4"/>
    </sheetView>
  </sheetViews>
  <sheetFormatPr defaultRowHeight="14.5" x14ac:dyDescent="0.35"/>
  <sheetData>
    <row r="1" spans="1:3" x14ac:dyDescent="0.35">
      <c r="A1" t="s">
        <v>1122</v>
      </c>
      <c r="C1" t="s">
        <v>1123</v>
      </c>
    </row>
    <row r="3" spans="1:3" x14ac:dyDescent="0.35">
      <c r="A3" t="s">
        <v>2257</v>
      </c>
      <c r="C3" t="s">
        <v>2260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6C213-6DFD-4076-B217-FC26240F10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OL-JOC - DOI details-from-figsh</vt:lpstr>
      <vt:lpstr>compound numbers</vt:lpstr>
      <vt:lpstr>Sheet1</vt:lpstr>
      <vt:lpstr>original</vt:lpstr>
      <vt:lpstr>notes</vt:lpstr>
      <vt:lpstr>'compound numbers'!Compound_Application_NMR_214</vt:lpstr>
      <vt:lpstr>'compound numbers'!Compound_comp07b_1324_939_cdcl3_45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Hanson</dc:creator>
  <cp:lastModifiedBy>Bob Hanson</cp:lastModifiedBy>
  <dcterms:created xsi:type="dcterms:W3CDTF">2026-02-18T14:52:59Z</dcterms:created>
  <dcterms:modified xsi:type="dcterms:W3CDTF">2026-04-11T21:54:58Z</dcterms:modified>
</cp:coreProperties>
</file>